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 PDR_run1" sheetId="1" r:id="rId5"/>
    <sheet state="visible" name="Task 1 PDR_run2 (x)" sheetId="2" r:id="rId6"/>
    <sheet state="visible" name="Task1 PDR_run3 (x)" sheetId="3" r:id="rId7"/>
    <sheet state="visible" name="Task2 Power1" sheetId="4" r:id="rId8"/>
    <sheet state="visible" name="Task2 Power2 (x)" sheetId="5" r:id="rId9"/>
    <sheet state="visible" name="Task2_Power3(idle run)" sheetId="6" r:id="rId10"/>
    <sheet state="visible" name="Task1 Karel PDR_01" sheetId="7" r:id="rId11"/>
    <sheet state="visible" name="Task1 Karel Power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tc={eb41650b-8ab2-467c-9c83-abd7343a7327}</author>
  </authors>
  <commentList>
    <comment authorId="0" xr:uid="{eb41650b-8ab2-467c-9c83-abd7343a7327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voor avg (ms)
</t>
      </text>
    </comment>
  </commentList>
</comments>
</file>

<file path=xl/sharedStrings.xml><?xml version="1.0" encoding="utf-8"?>
<sst xmlns="http://schemas.openxmlformats.org/spreadsheetml/2006/main" count="552" uniqueCount="239">
  <si>
    <t>Measurements</t>
  </si>
  <si>
    <t>date</t>
  </si>
  <si>
    <t>min (ms)</t>
  </si>
  <si>
    <t>avg (ms)</t>
  </si>
  <si>
    <t>max (ms)</t>
  </si>
  <si>
    <t>PDR (%)</t>
  </si>
  <si>
    <t>Packet transmitted</t>
  </si>
  <si>
    <t>Packets received</t>
  </si>
  <si>
    <t>Info</t>
  </si>
  <si>
    <t>Script</t>
  </si>
  <si>
    <t>Task_PDR_01</t>
  </si>
  <si>
    <t>4/29/2026</t>
  </si>
  <si>
    <t>COUNT 500 / size (/leds) / -N no retransmissions / sleep 0,2</t>
  </si>
  <si>
    <t>PDR.sh</t>
  </si>
  <si>
    <t>Task_PDR_02</t>
  </si>
  <si>
    <t>Task_PDR_03</t>
  </si>
  <si>
    <t>Task_PDR_04</t>
  </si>
  <si>
    <t>Task_PDR_05</t>
  </si>
  <si>
    <t>Task_PDR_06</t>
  </si>
  <si>
    <t>Task_PDR_07</t>
  </si>
  <si>
    <t>Task_PDR_08</t>
  </si>
  <si>
    <t>Task_PDR_09</t>
  </si>
  <si>
    <t>Task_PDR_10</t>
  </si>
  <si>
    <t>Task_PDR_11</t>
  </si>
  <si>
    <t>4/30/2026</t>
  </si>
  <si>
    <t>COUNT 500 / size (/leds)  / sleep 0,2</t>
  </si>
  <si>
    <t>Task_PDR_12</t>
  </si>
  <si>
    <t>Task_PDR_13</t>
  </si>
  <si>
    <t>Task_PDR_14</t>
  </si>
  <si>
    <t>Task_PDR_15</t>
  </si>
  <si>
    <t>Task_PDR_16</t>
  </si>
  <si>
    <t>Task_PDR_17</t>
  </si>
  <si>
    <t>Task_PDR_18</t>
  </si>
  <si>
    <t>Task_PDR_19</t>
  </si>
  <si>
    <t>Task_PDR_20</t>
  </si>
  <si>
    <t>exported for t-shark</t>
  </si>
  <si>
    <t>Packets transmitted</t>
  </si>
  <si>
    <t>P Received</t>
  </si>
  <si>
    <t>Packet loss (%)</t>
  </si>
  <si>
    <t>Locations</t>
  </si>
  <si>
    <t>Duration</t>
  </si>
  <si>
    <t>Interval</t>
  </si>
  <si>
    <t>Frames</t>
  </si>
  <si>
    <t>Bytes</t>
  </si>
  <si>
    <t>Task_PDR_21</t>
  </si>
  <si>
    <t>COUNT 500 / size (/leds) / timeout 1 -N no retransmissions (NON MID) / sleep 0,2</t>
  </si>
  <si>
    <t>kot(mezannine, badkamer, voor de deur)</t>
  </si>
  <si>
    <t>PDR_multi,sh</t>
  </si>
  <si>
    <t>Task_PDR_22</t>
  </si>
  <si>
    <t>COUNT 500 / size (/leds) / timeout 1 -N no retransmissions (NON MID) / sleep 0,3</t>
  </si>
  <si>
    <t>Task_PDR_23</t>
  </si>
  <si>
    <t>COUNT 500 / size (/leds) / timeout 1 -N no retransmissions (NON MID) / sleep 0,4</t>
  </si>
  <si>
    <t>Task_PDR_24</t>
  </si>
  <si>
    <t>COUNT 500 / size (/leds) / timeout 1 -N no retransmissions (NON MID) / sleep 0,5</t>
  </si>
  <si>
    <t>Task_PDR_25</t>
  </si>
  <si>
    <t>COUNT 500 / size (/leds) / timeout 1 -N no retransmissions (NON MID) / sleep 0,6</t>
  </si>
  <si>
    <t>kot(mezannine, bed, voor de deur)</t>
  </si>
  <si>
    <t>Task_PDR_27</t>
  </si>
  <si>
    <t>COUNT 500 / size (/leds) / timeout 1 -N no retransmissions (NON MID) / sleep 0,7</t>
  </si>
  <si>
    <t>Task_PDR_26</t>
  </si>
  <si>
    <t>COUNT 500 / size (/leds) / timeout 1 -N no retransmissions (NON MID) / sleep 0,8</t>
  </si>
  <si>
    <t>Task_PDR_28</t>
  </si>
  <si>
    <t>COUNT 500 / size (/leds) / timeout 1 -N no retransmissions (NON MID) / sleep 0,9</t>
  </si>
  <si>
    <t>Task_PDR_29</t>
  </si>
  <si>
    <t>COUNT 500 / size (/leds) / timeout 1 -N no retransmissions (NON MID) / sleep 0,10</t>
  </si>
  <si>
    <t>Task_PDR_30</t>
  </si>
  <si>
    <t>COUNT 500 / size (/leds) / timeout 1 -N no retransmissions (NON MID) / sleep 0,11</t>
  </si>
  <si>
    <t>Task_PDR_31</t>
  </si>
  <si>
    <t>COUNT 500 / size (/leds) / timeout 1 -N no retransmissions (NON MID) / sleep 0,12</t>
  </si>
  <si>
    <t>Task_PDR_32</t>
  </si>
  <si>
    <t>COUNT 500 / size (/leds) / timeout 1 -N no retransmissions (NON MID) / sleep 0,13</t>
  </si>
  <si>
    <t>Task_PDR_33</t>
  </si>
  <si>
    <t>COUNT 500 / size (/leds) / timeout 1 -N no retransmissions (NON MID) / sleep 0,14</t>
  </si>
  <si>
    <t>COUNT 500 / size (/leds) / timeout 1 -N no retransmissions (NON MID) / sleep 0,15</t>
  </si>
  <si>
    <t>Task_PDR_34</t>
  </si>
  <si>
    <t>COUNT 500 / size (/leds) / timeout 1 -N no retransmissions (NON MID) / sleep 0,16</t>
  </si>
  <si>
    <t>Task_PDR_36</t>
  </si>
  <si>
    <t>COUNT 500 / size (/leds) / timeout 1 -N no retransmissions (NON MID) / sleep 0,17</t>
  </si>
  <si>
    <t>Task_PDR_37</t>
  </si>
  <si>
    <t>COUNT 500 / size (/leds) / timeout 1 -N no retransmissions (NON MID) / sleep 0,18</t>
  </si>
  <si>
    <t>Task_PDR_38</t>
  </si>
  <si>
    <t>COUNT 500 / size (/leds) / timeout 1 -N no retransmissions (NON MID) / sleep 0,19</t>
  </si>
  <si>
    <t>Task_PDR_39</t>
  </si>
  <si>
    <t>COUNT 500 / size (/leds) / timeout 1 -N no retransmissions (NON MID) / sleep 0,20</t>
  </si>
  <si>
    <t>Task_PDR_40</t>
  </si>
  <si>
    <t>COUNT 500 / size (/leds) / timeout 1 -N no retransmissions (NON MID) / sleep 0,21</t>
  </si>
  <si>
    <t>Task_PDR_41</t>
  </si>
  <si>
    <t>COUNT 500 / size (/leds) / timeout 1 -N no retransmissions (NON MID) / sleep 0,22</t>
  </si>
  <si>
    <t>Task_PDR_42</t>
  </si>
  <si>
    <t>4/30/2027</t>
  </si>
  <si>
    <t>COUNT 500 / size (/leds) / timeout 1 -N no retransmissions (NON MID) / sleep 0,23</t>
  </si>
  <si>
    <t>Task_PDR_43</t>
  </si>
  <si>
    <t>4/30/2028</t>
  </si>
  <si>
    <t>COUNT 500 / size (/leds) / timeout 1 -N no retransmissions (NON MID) / sleep 0,24</t>
  </si>
  <si>
    <t>Task_PDR_44</t>
  </si>
  <si>
    <t>4/30/2029</t>
  </si>
  <si>
    <t>COUNT 500 / size (/leds) / timeout 1 -N no retransmissions (NON MID) / sleep 0,25</t>
  </si>
  <si>
    <t>Task_PDR_45</t>
  </si>
  <si>
    <t>K4(Labo-locaal - rechts hoek, links midden, links voor)</t>
  </si>
  <si>
    <t>PDR_multi</t>
  </si>
  <si>
    <t>Task1_PDR_46</t>
  </si>
  <si>
    <t>Task1_PDR_47</t>
  </si>
  <si>
    <t>Task1_PDR_48</t>
  </si>
  <si>
    <t>Task1_PDR_49</t>
  </si>
  <si>
    <t>Task1_PDR_50</t>
  </si>
  <si>
    <t>Task1_PDR_51</t>
  </si>
  <si>
    <t>Task1_PDR_52</t>
  </si>
  <si>
    <t>Task1_PDR_53</t>
  </si>
  <si>
    <t>Task1_PDR_54</t>
  </si>
  <si>
    <t>Task1_PDR_55</t>
  </si>
  <si>
    <t>Task1_PDR_56</t>
  </si>
  <si>
    <t>Task1_PDR_57</t>
  </si>
  <si>
    <t>Task1_PDR_58</t>
  </si>
  <si>
    <t>Task1_PDR_59</t>
  </si>
  <si>
    <t>Task1_PDR_60</t>
  </si>
  <si>
    <t>Task1_PDR_61</t>
  </si>
  <si>
    <t>Task1_PDR_62</t>
  </si>
  <si>
    <t>Task1_PDR_63</t>
  </si>
  <si>
    <t>Task1_PDR_64</t>
  </si>
  <si>
    <t>Exported</t>
  </si>
  <si>
    <t>csv file name</t>
  </si>
  <si>
    <t>min</t>
  </si>
  <si>
    <t>avg</t>
  </si>
  <si>
    <t>max</t>
  </si>
  <si>
    <t>PDR</t>
  </si>
  <si>
    <t>Transmitted</t>
  </si>
  <si>
    <t>Received</t>
  </si>
  <si>
    <t>packet loss</t>
  </si>
  <si>
    <t>note</t>
  </si>
  <si>
    <t>pow1_20260508_130254.dlog</t>
  </si>
  <si>
    <t>pow1</t>
  </si>
  <si>
    <t>1 dongle  (fd::___1940)</t>
  </si>
  <si>
    <t>pow1_20260508_131218.dlog</t>
  </si>
  <si>
    <t>pow2</t>
  </si>
  <si>
    <t>pow1_20260508_131653.dlog</t>
  </si>
  <si>
    <t>pow3</t>
  </si>
  <si>
    <t>pow1_20260508_132030.dlog</t>
  </si>
  <si>
    <t>pow4</t>
  </si>
  <si>
    <t>pow1_20260508_132358.dlog</t>
  </si>
  <si>
    <t>pow5</t>
  </si>
  <si>
    <t>pow1_20260508_132759.dlog</t>
  </si>
  <si>
    <t>pow6</t>
  </si>
  <si>
    <t>pow1_20260508_133156.dlog</t>
  </si>
  <si>
    <t>pow7</t>
  </si>
  <si>
    <t>pow1_20260508_133514.dlog</t>
  </si>
  <si>
    <t>pow8</t>
  </si>
  <si>
    <t>pow1_20260508_133850.dlog</t>
  </si>
  <si>
    <t>pow9</t>
  </si>
  <si>
    <t>pow1_20260508_134211.dlog</t>
  </si>
  <si>
    <t>pow10</t>
  </si>
  <si>
    <t>no pcap file</t>
  </si>
  <si>
    <t>PDR errors</t>
  </si>
  <si>
    <t>very interesing</t>
  </si>
  <si>
    <t>PDR discussion</t>
  </si>
  <si>
    <t>Power discussion</t>
  </si>
  <si>
    <t>pow1_20260508_143736.dlog</t>
  </si>
  <si>
    <t>pow11</t>
  </si>
  <si>
    <t xml:space="preserve">3 dongles </t>
  </si>
  <si>
    <t>x</t>
  </si>
  <si>
    <t>low</t>
  </si>
  <si>
    <t>geen pcap file</t>
  </si>
  <si>
    <t>pow1_20260508_144311.dlog</t>
  </si>
  <si>
    <t>pow12</t>
  </si>
  <si>
    <t>apow_20260511_104426.dlog</t>
  </si>
  <si>
    <t>pow13</t>
  </si>
  <si>
    <t>apow_20260511_104926.dlog</t>
  </si>
  <si>
    <t>pow14</t>
  </si>
  <si>
    <t>apow_20260511_105340.dlog</t>
  </si>
  <si>
    <t>pow15</t>
  </si>
  <si>
    <t>apow_20260511_105735.dlog</t>
  </si>
  <si>
    <t>pow16</t>
  </si>
  <si>
    <t>mid</t>
  </si>
  <si>
    <t>yes</t>
  </si>
  <si>
    <t>apow_20260511_110135.dlog</t>
  </si>
  <si>
    <t>pow17</t>
  </si>
  <si>
    <t>mid-high</t>
  </si>
  <si>
    <t>apow_20260511_110553.dlog</t>
  </si>
  <si>
    <t>pow18</t>
  </si>
  <si>
    <t>apow_20260511_111141.dlog</t>
  </si>
  <si>
    <t>pow19</t>
  </si>
  <si>
    <t>apow_20260511_111806.dlog</t>
  </si>
  <si>
    <t>pow20</t>
  </si>
  <si>
    <t>high</t>
  </si>
  <si>
    <t>apow_20260511_112348.dlog</t>
  </si>
  <si>
    <t>pow21</t>
  </si>
  <si>
    <t>apow_20260511_112804.dlog</t>
  </si>
  <si>
    <t>pow22</t>
  </si>
  <si>
    <t>apow_20260511_113159.dlog</t>
  </si>
  <si>
    <t>pow23</t>
  </si>
  <si>
    <t>apow_20260511_113615.dlog</t>
  </si>
  <si>
    <t>pow24</t>
  </si>
  <si>
    <t>apow_20260511_114103.dlog</t>
  </si>
  <si>
    <t>pow25</t>
  </si>
  <si>
    <t>apow_20260511_114533.dlog</t>
  </si>
  <si>
    <t>pow26</t>
  </si>
  <si>
    <t>apow_20260511_114940.dlog</t>
  </si>
  <si>
    <t>pow27</t>
  </si>
  <si>
    <t>apow_20260511_120658.dlog</t>
  </si>
  <si>
    <t>pow28</t>
  </si>
  <si>
    <t>apow_20260511_121038.dlog</t>
  </si>
  <si>
    <t>pow29</t>
  </si>
  <si>
    <t>apow_20260511_121434.dlog</t>
  </si>
  <si>
    <t>pow30</t>
  </si>
  <si>
    <t>Measurement</t>
  </si>
  <si>
    <t>data</t>
  </si>
  <si>
    <t xml:space="preserve">exported </t>
  </si>
  <si>
    <t>apow_20260511_121920,dlog</t>
  </si>
  <si>
    <t>pow31</t>
  </si>
  <si>
    <t>long idle run</t>
  </si>
  <si>
    <t>Loss (%)</t>
  </si>
  <si>
    <t>info</t>
  </si>
  <si>
    <t>Timeout tijd</t>
  </si>
  <si>
    <t>5/15/2026</t>
  </si>
  <si>
    <t>Dongles net ingestoken</t>
  </si>
  <si>
    <t>Dongles opnieuw ingestoken</t>
  </si>
  <si>
    <t>Dongles gelaten</t>
  </si>
  <si>
    <t>PDR AVG</t>
  </si>
  <si>
    <t>PDR STDEV</t>
  </si>
  <si>
    <t>Power01</t>
  </si>
  <si>
    <t>eerste</t>
  </si>
  <si>
    <t>Power02</t>
  </si>
  <si>
    <t>Power03</t>
  </si>
  <si>
    <t>Power04</t>
  </si>
  <si>
    <t>Power05</t>
  </si>
  <si>
    <t>Power06</t>
  </si>
  <si>
    <t>Power07</t>
  </si>
  <si>
    <t>Power08</t>
  </si>
  <si>
    <t>Power09</t>
  </si>
  <si>
    <t>Power10</t>
  </si>
  <si>
    <t>Power11</t>
  </si>
  <si>
    <t>Power12</t>
  </si>
  <si>
    <t>Power13</t>
  </si>
  <si>
    <t>Power14</t>
  </si>
  <si>
    <t>Power15</t>
  </si>
  <si>
    <t>Power16</t>
  </si>
  <si>
    <t>Power17</t>
  </si>
  <si>
    <t>Power18</t>
  </si>
  <si>
    <t>Power19</t>
  </si>
  <si>
    <t>Power20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</si>
</sst>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right style="double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m Rodanim Nzungu Muzinga" id="{2210de4c-bcef-4b8b-97d8-9199ece8662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4-29T22:39:01.00" personId="{2210de4c-bcef-4b8b-97d8-9199ece8662c}" id="{eb41650b-8ab2-467c-9c83-abd7343a7327}" done="0">
    <x18tc:text xml:space="preserve">voor avg (ms)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pdr.sh/" TargetMode="External"/><Relationship Id="rId22" Type="http://schemas.openxmlformats.org/officeDocument/2006/relationships/hyperlink" Target="http://pdr.sh/" TargetMode="External"/><Relationship Id="rId21" Type="http://schemas.openxmlformats.org/officeDocument/2006/relationships/hyperlink" Target="http://pdr.sh/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://pdr.sh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dr.sh/" TargetMode="External"/><Relationship Id="rId9" Type="http://schemas.openxmlformats.org/officeDocument/2006/relationships/hyperlink" Target="http://pdr.sh/" TargetMode="External"/><Relationship Id="rId25" Type="http://schemas.openxmlformats.org/officeDocument/2006/relationships/vmlDrawing" Target="../drawings/vmlDrawing1.vml"/><Relationship Id="rId5" Type="http://schemas.openxmlformats.org/officeDocument/2006/relationships/hyperlink" Target="http://pdr.sh/" TargetMode="External"/><Relationship Id="rId6" Type="http://schemas.openxmlformats.org/officeDocument/2006/relationships/hyperlink" Target="http://pdr.sh/" TargetMode="External"/><Relationship Id="rId7" Type="http://schemas.openxmlformats.org/officeDocument/2006/relationships/hyperlink" Target="http://pdr.sh/" TargetMode="External"/><Relationship Id="rId8" Type="http://schemas.openxmlformats.org/officeDocument/2006/relationships/hyperlink" Target="http://pdr.sh/" TargetMode="External"/><Relationship Id="rId11" Type="http://schemas.openxmlformats.org/officeDocument/2006/relationships/hyperlink" Target="http://pdr.sh/" TargetMode="External"/><Relationship Id="rId10" Type="http://schemas.openxmlformats.org/officeDocument/2006/relationships/hyperlink" Target="http://pdr.sh/" TargetMode="External"/><Relationship Id="rId13" Type="http://schemas.openxmlformats.org/officeDocument/2006/relationships/hyperlink" Target="http://pdr.sh/" TargetMode="External"/><Relationship Id="rId12" Type="http://schemas.openxmlformats.org/officeDocument/2006/relationships/hyperlink" Target="http://pdr.sh/" TargetMode="External"/><Relationship Id="rId15" Type="http://schemas.openxmlformats.org/officeDocument/2006/relationships/hyperlink" Target="http://pdr.sh/" TargetMode="External"/><Relationship Id="rId14" Type="http://schemas.openxmlformats.org/officeDocument/2006/relationships/hyperlink" Target="http://pdr.sh/" TargetMode="External"/><Relationship Id="rId17" Type="http://schemas.openxmlformats.org/officeDocument/2006/relationships/hyperlink" Target="http://pdr.sh/" TargetMode="External"/><Relationship Id="rId16" Type="http://schemas.openxmlformats.org/officeDocument/2006/relationships/hyperlink" Target="http://pdr.sh/" TargetMode="External"/><Relationship Id="rId19" Type="http://schemas.openxmlformats.org/officeDocument/2006/relationships/hyperlink" Target="http://pdr.sh/" TargetMode="External"/><Relationship Id="rId18" Type="http://schemas.openxmlformats.org/officeDocument/2006/relationships/hyperlink" Target="http://pdr.sh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  <col customWidth="1" min="8" max="8" width="15.13"/>
    <col customWidth="1" min="9" max="9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31.0</v>
      </c>
      <c r="D2" s="1">
        <v>44.068</v>
      </c>
      <c r="E2" s="1">
        <v>1353.0</v>
      </c>
      <c r="F2" s="1">
        <v>100.0</v>
      </c>
      <c r="G2" s="1">
        <v>500.0</v>
      </c>
      <c r="H2" s="1">
        <v>500.0</v>
      </c>
      <c r="I2" s="1" t="s">
        <v>12</v>
      </c>
      <c r="J2" s="2" t="s">
        <v>13</v>
      </c>
    </row>
    <row r="3">
      <c r="A3" s="1" t="s">
        <v>14</v>
      </c>
      <c r="B3" s="1" t="s">
        <v>11</v>
      </c>
      <c r="C3" s="1">
        <v>31.0</v>
      </c>
      <c r="D3" s="1">
        <v>38.264</v>
      </c>
      <c r="E3" s="1">
        <v>82.0</v>
      </c>
      <c r="F3" s="1">
        <v>100.0</v>
      </c>
      <c r="G3" s="1">
        <v>500.0</v>
      </c>
      <c r="H3" s="1">
        <v>500.0</v>
      </c>
      <c r="I3" s="1" t="s">
        <v>12</v>
      </c>
      <c r="J3" s="2" t="s">
        <v>13</v>
      </c>
    </row>
    <row r="4">
      <c r="A4" s="1" t="s">
        <v>15</v>
      </c>
      <c r="B4" s="1" t="s">
        <v>11</v>
      </c>
      <c r="C4" s="1">
        <v>31.0</v>
      </c>
      <c r="D4" s="1">
        <v>43.202</v>
      </c>
      <c r="E4" s="1">
        <v>1259.0</v>
      </c>
      <c r="F4" s="1">
        <v>100.0</v>
      </c>
      <c r="G4" s="1">
        <v>500.0</v>
      </c>
      <c r="H4" s="1">
        <v>500.0</v>
      </c>
      <c r="I4" s="1" t="s">
        <v>12</v>
      </c>
      <c r="J4" s="2" t="s">
        <v>13</v>
      </c>
    </row>
    <row r="5">
      <c r="A5" s="1" t="s">
        <v>16</v>
      </c>
      <c r="B5" s="1" t="s">
        <v>11</v>
      </c>
      <c r="C5" s="1">
        <v>30.0</v>
      </c>
      <c r="D5" s="1">
        <v>40.408</v>
      </c>
      <c r="E5" s="1">
        <v>958.0</v>
      </c>
      <c r="F5" s="1">
        <v>100.0</v>
      </c>
      <c r="G5" s="1">
        <v>500.0</v>
      </c>
      <c r="H5" s="1">
        <v>500.0</v>
      </c>
      <c r="I5" s="1" t="s">
        <v>12</v>
      </c>
      <c r="J5" s="2" t="s">
        <v>13</v>
      </c>
    </row>
    <row r="6">
      <c r="A6" s="1" t="s">
        <v>17</v>
      </c>
      <c r="B6" s="1" t="s">
        <v>11</v>
      </c>
      <c r="C6" s="1">
        <v>31.0</v>
      </c>
      <c r="D6" s="1">
        <v>39.318</v>
      </c>
      <c r="E6" s="1">
        <v>74.0</v>
      </c>
      <c r="F6" s="1">
        <v>100.0</v>
      </c>
      <c r="G6" s="1">
        <v>500.0</v>
      </c>
      <c r="H6" s="1">
        <v>500.0</v>
      </c>
      <c r="I6" s="1" t="s">
        <v>12</v>
      </c>
      <c r="J6" s="2" t="s">
        <v>13</v>
      </c>
    </row>
    <row r="7">
      <c r="A7" s="1" t="s">
        <v>18</v>
      </c>
      <c r="B7" s="1" t="s">
        <v>11</v>
      </c>
      <c r="C7" s="1">
        <v>32.0</v>
      </c>
      <c r="D7" s="1">
        <v>40.036</v>
      </c>
      <c r="E7" s="1">
        <v>861.0</v>
      </c>
      <c r="F7" s="1">
        <v>100.0</v>
      </c>
      <c r="G7" s="1">
        <v>500.0</v>
      </c>
      <c r="H7" s="1">
        <v>500.0</v>
      </c>
      <c r="I7" s="1" t="s">
        <v>12</v>
      </c>
      <c r="J7" s="2" t="s">
        <v>13</v>
      </c>
    </row>
    <row r="8">
      <c r="A8" s="1" t="s">
        <v>19</v>
      </c>
      <c r="B8" s="1" t="s">
        <v>11</v>
      </c>
      <c r="C8" s="1">
        <v>31.0</v>
      </c>
      <c r="D8" s="1">
        <v>38.938</v>
      </c>
      <c r="E8" s="1">
        <v>299.0</v>
      </c>
      <c r="F8" s="1">
        <v>100.0</v>
      </c>
      <c r="G8" s="1">
        <v>500.0</v>
      </c>
      <c r="H8" s="1">
        <v>500.0</v>
      </c>
      <c r="I8" s="1" t="s">
        <v>12</v>
      </c>
      <c r="J8" s="2" t="s">
        <v>13</v>
      </c>
    </row>
    <row r="9">
      <c r="A9" s="1" t="s">
        <v>20</v>
      </c>
      <c r="B9" s="1" t="s">
        <v>11</v>
      </c>
      <c r="C9" s="1">
        <v>31.0</v>
      </c>
      <c r="D9" s="1">
        <v>40.936</v>
      </c>
      <c r="E9" s="1">
        <v>1242.0</v>
      </c>
      <c r="F9" s="1">
        <v>100.0</v>
      </c>
      <c r="G9" s="1">
        <v>500.0</v>
      </c>
      <c r="H9" s="1">
        <v>500.0</v>
      </c>
      <c r="I9" s="1" t="s">
        <v>12</v>
      </c>
      <c r="J9" s="2" t="s">
        <v>13</v>
      </c>
    </row>
    <row r="10">
      <c r="A10" s="1" t="s">
        <v>21</v>
      </c>
      <c r="B10" s="1" t="s">
        <v>11</v>
      </c>
      <c r="C10" s="1">
        <v>32.0</v>
      </c>
      <c r="D10" s="1">
        <v>38.432</v>
      </c>
      <c r="E10" s="1">
        <v>166.0</v>
      </c>
      <c r="F10" s="1">
        <v>100.0</v>
      </c>
      <c r="G10" s="1">
        <v>500.0</v>
      </c>
      <c r="H10" s="1">
        <v>500.0</v>
      </c>
      <c r="I10" s="1" t="s">
        <v>12</v>
      </c>
      <c r="J10" s="2" t="s">
        <v>13</v>
      </c>
    </row>
    <row r="11">
      <c r="A11" s="1" t="s">
        <v>22</v>
      </c>
      <c r="B11" s="1" t="s">
        <v>11</v>
      </c>
      <c r="C11" s="1">
        <v>33.0</v>
      </c>
      <c r="D11" s="1">
        <v>38.336</v>
      </c>
      <c r="E11" s="1">
        <v>55.0</v>
      </c>
      <c r="F11" s="1">
        <v>100.0</v>
      </c>
      <c r="G11" s="1">
        <v>500.0</v>
      </c>
      <c r="H11" s="1">
        <v>500.0</v>
      </c>
      <c r="I11" s="1" t="s">
        <v>12</v>
      </c>
      <c r="J11" s="2" t="s">
        <v>13</v>
      </c>
    </row>
    <row r="12">
      <c r="A12" s="1" t="s">
        <v>23</v>
      </c>
      <c r="B12" s="1" t="s">
        <v>24</v>
      </c>
      <c r="C12" s="1">
        <v>31.0</v>
      </c>
      <c r="D12" s="1">
        <v>41.442</v>
      </c>
      <c r="E12" s="1">
        <v>1267.0</v>
      </c>
      <c r="F12" s="1">
        <v>100.0</v>
      </c>
      <c r="G12" s="1">
        <v>500.0</v>
      </c>
      <c r="H12" s="1">
        <v>500.0</v>
      </c>
      <c r="I12" s="1" t="s">
        <v>25</v>
      </c>
      <c r="J12" s="2" t="s">
        <v>13</v>
      </c>
    </row>
    <row r="13">
      <c r="A13" s="1" t="s">
        <v>26</v>
      </c>
      <c r="B13" s="1" t="s">
        <v>24</v>
      </c>
      <c r="C13" s="1">
        <v>32.0</v>
      </c>
      <c r="D13" s="1">
        <v>39.056</v>
      </c>
      <c r="E13" s="1">
        <v>285.0</v>
      </c>
      <c r="F13" s="1">
        <v>100.0</v>
      </c>
      <c r="G13" s="1">
        <v>500.0</v>
      </c>
      <c r="H13" s="1">
        <v>500.0</v>
      </c>
      <c r="I13" s="1" t="s">
        <v>25</v>
      </c>
      <c r="J13" s="2" t="s">
        <v>13</v>
      </c>
    </row>
    <row r="14">
      <c r="A14" s="1" t="s">
        <v>27</v>
      </c>
      <c r="B14" s="1" t="s">
        <v>24</v>
      </c>
      <c r="C14" s="1">
        <v>32.0</v>
      </c>
      <c r="D14" s="1">
        <v>45.77</v>
      </c>
      <c r="E14" s="1">
        <v>1228.0</v>
      </c>
      <c r="F14" s="1">
        <v>100.0</v>
      </c>
      <c r="G14" s="1">
        <v>500.0</v>
      </c>
      <c r="H14" s="1">
        <v>500.0</v>
      </c>
      <c r="I14" s="1" t="s">
        <v>25</v>
      </c>
      <c r="J14" s="2" t="s">
        <v>13</v>
      </c>
    </row>
    <row r="15">
      <c r="A15" s="1" t="s">
        <v>28</v>
      </c>
      <c r="B15" s="1" t="s">
        <v>24</v>
      </c>
      <c r="C15" s="1">
        <v>31.0</v>
      </c>
      <c r="D15" s="1">
        <v>40.3</v>
      </c>
      <c r="E15" s="1">
        <v>960.0</v>
      </c>
      <c r="F15" s="1">
        <v>100.0</v>
      </c>
      <c r="G15" s="1">
        <v>500.0</v>
      </c>
      <c r="H15" s="1">
        <v>500.0</v>
      </c>
      <c r="I15" s="1" t="s">
        <v>25</v>
      </c>
      <c r="J15" s="2" t="s">
        <v>13</v>
      </c>
    </row>
    <row r="16">
      <c r="A16" s="1" t="s">
        <v>29</v>
      </c>
      <c r="B16" s="1" t="s">
        <v>24</v>
      </c>
      <c r="C16" s="1">
        <v>33.0</v>
      </c>
      <c r="D16" s="1">
        <v>41.432</v>
      </c>
      <c r="E16" s="1">
        <v>1086.0</v>
      </c>
      <c r="F16" s="1">
        <v>100.0</v>
      </c>
      <c r="G16" s="1">
        <v>500.0</v>
      </c>
      <c r="H16" s="1">
        <v>500.0</v>
      </c>
      <c r="I16" s="1" t="s">
        <v>25</v>
      </c>
      <c r="J16" s="2" t="s">
        <v>13</v>
      </c>
    </row>
    <row r="17">
      <c r="A17" s="1" t="s">
        <v>30</v>
      </c>
      <c r="B17" s="1" t="s">
        <v>24</v>
      </c>
      <c r="C17" s="1">
        <v>33.0</v>
      </c>
      <c r="D17" s="1">
        <v>40.712</v>
      </c>
      <c r="E17" s="1">
        <v>1132.0</v>
      </c>
      <c r="F17" s="1">
        <v>100.0</v>
      </c>
      <c r="G17" s="1">
        <v>500.0</v>
      </c>
      <c r="H17" s="1">
        <v>500.0</v>
      </c>
      <c r="I17" s="1" t="s">
        <v>25</v>
      </c>
      <c r="J17" s="2" t="s">
        <v>13</v>
      </c>
    </row>
    <row r="18">
      <c r="A18" s="1" t="s">
        <v>31</v>
      </c>
      <c r="B18" s="1" t="s">
        <v>24</v>
      </c>
      <c r="C18" s="1">
        <v>32.0</v>
      </c>
      <c r="D18" s="1">
        <v>38.88</v>
      </c>
      <c r="E18" s="1">
        <v>278.0</v>
      </c>
      <c r="F18" s="1">
        <v>100.0</v>
      </c>
      <c r="G18" s="1">
        <v>500.0</v>
      </c>
      <c r="H18" s="1">
        <v>500.0</v>
      </c>
      <c r="I18" s="1" t="s">
        <v>25</v>
      </c>
      <c r="J18" s="2" t="s">
        <v>13</v>
      </c>
    </row>
    <row r="19">
      <c r="A19" s="1" t="s">
        <v>32</v>
      </c>
      <c r="B19" s="1" t="s">
        <v>24</v>
      </c>
      <c r="C19" s="1">
        <v>31.0</v>
      </c>
      <c r="D19" s="1">
        <v>38.404</v>
      </c>
      <c r="E19" s="1">
        <v>55.0</v>
      </c>
      <c r="F19" s="1">
        <v>100.0</v>
      </c>
      <c r="G19" s="1">
        <v>500.0</v>
      </c>
      <c r="H19" s="1">
        <v>500.0</v>
      </c>
      <c r="I19" s="1" t="s">
        <v>25</v>
      </c>
      <c r="J19" s="2" t="s">
        <v>13</v>
      </c>
    </row>
    <row r="20">
      <c r="A20" s="1" t="s">
        <v>33</v>
      </c>
      <c r="B20" s="1" t="s">
        <v>24</v>
      </c>
      <c r="C20" s="1">
        <v>32.0</v>
      </c>
      <c r="D20" s="1">
        <v>48.34</v>
      </c>
      <c r="E20" s="1">
        <v>1302.0</v>
      </c>
      <c r="F20" s="1">
        <v>100.0</v>
      </c>
      <c r="G20" s="1">
        <v>500.0</v>
      </c>
      <c r="H20" s="1">
        <v>500.0</v>
      </c>
      <c r="I20" s="1" t="s">
        <v>25</v>
      </c>
      <c r="J20" s="2" t="s">
        <v>13</v>
      </c>
    </row>
    <row r="21">
      <c r="A21" s="1" t="s">
        <v>34</v>
      </c>
      <c r="B21" s="1" t="s">
        <v>24</v>
      </c>
      <c r="C21" s="1">
        <v>32.0</v>
      </c>
      <c r="D21" s="1">
        <v>38.988</v>
      </c>
      <c r="E21" s="1">
        <v>82.0</v>
      </c>
      <c r="F21" s="1">
        <v>100.0</v>
      </c>
      <c r="G21" s="1">
        <v>500.0</v>
      </c>
      <c r="H21" s="1">
        <v>500.0</v>
      </c>
      <c r="I21" s="1" t="s">
        <v>25</v>
      </c>
      <c r="J21" s="2" t="s">
        <v>13</v>
      </c>
    </row>
  </sheetData>
  <hyperlinks>
    <hyperlink r:id="rId4" ref="J2"/>
    <hyperlink r:id="rId5" ref="J3"/>
    <hyperlink r:id="rId6" ref="J4"/>
    <hyperlink r:id="rId7" ref="J5"/>
    <hyperlink r:id="rId8" ref="J6"/>
    <hyperlink r:id="rId9" ref="J7"/>
    <hyperlink r:id="rId10" ref="J8"/>
    <hyperlink r:id="rId11" ref="J9"/>
    <hyperlink r:id="rId12" ref="J10"/>
    <hyperlink r:id="rId13" ref="J11"/>
    <hyperlink r:id="rId14" ref="J12"/>
    <hyperlink r:id="rId15" ref="J13"/>
    <hyperlink r:id="rId16" ref="J14"/>
    <hyperlink r:id="rId17" ref="J15"/>
    <hyperlink r:id="rId18" ref="J16"/>
    <hyperlink r:id="rId19" ref="J17"/>
    <hyperlink r:id="rId20" ref="J18"/>
    <hyperlink r:id="rId21" ref="J19"/>
    <hyperlink r:id="rId22" ref="J20"/>
    <hyperlink r:id="rId23" ref="J21"/>
  </hyperlinks>
  <drawing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16.0"/>
    <col customWidth="1" min="8" max="8" width="16.25"/>
    <col customWidth="1" min="11" max="11" width="63.13"/>
    <col customWidth="1" min="12" max="12" width="33.25"/>
  </cols>
  <sheetData>
    <row r="1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36</v>
      </c>
      <c r="I1" s="1" t="s">
        <v>37</v>
      </c>
      <c r="J1" s="1" t="s">
        <v>38</v>
      </c>
      <c r="K1" s="1" t="s">
        <v>8</v>
      </c>
      <c r="L1" s="1" t="s">
        <v>39</v>
      </c>
      <c r="M1" s="3" t="s">
        <v>9</v>
      </c>
      <c r="N1" s="1" t="s">
        <v>40</v>
      </c>
      <c r="O1" s="1" t="s">
        <v>41</v>
      </c>
      <c r="P1" s="1" t="s">
        <v>42</v>
      </c>
      <c r="Q1" s="1" t="s">
        <v>43</v>
      </c>
    </row>
    <row r="2">
      <c r="A2" s="1" t="s">
        <v>44</v>
      </c>
      <c r="B2" s="1" t="s">
        <v>24</v>
      </c>
      <c r="C2" s="1" t="b">
        <v>0</v>
      </c>
      <c r="D2" s="1">
        <v>35.0</v>
      </c>
      <c r="E2" s="1">
        <v>39.921</v>
      </c>
      <c r="F2" s="1">
        <v>173.0</v>
      </c>
      <c r="G2" s="1">
        <v>97.5</v>
      </c>
      <c r="H2" s="1">
        <v>1500.0</v>
      </c>
      <c r="I2" s="1">
        <v>1462.0</v>
      </c>
      <c r="J2" s="1">
        <v>2.5</v>
      </c>
      <c r="K2" s="1" t="s">
        <v>45</v>
      </c>
      <c r="L2" s="1" t="s">
        <v>46</v>
      </c>
      <c r="M2" s="3" t="s">
        <v>47</v>
      </c>
      <c r="N2" s="1">
        <v>321.9</v>
      </c>
      <c r="O2" s="1">
        <v>321.9</v>
      </c>
      <c r="P2" s="1">
        <v>9334.0</v>
      </c>
      <c r="Q2" s="1">
        <v>681022.0</v>
      </c>
    </row>
    <row r="3">
      <c r="A3" s="1" t="s">
        <v>48</v>
      </c>
      <c r="B3" s="1" t="s">
        <v>24</v>
      </c>
      <c r="C3" s="1" t="b">
        <v>0</v>
      </c>
      <c r="D3" s="1">
        <v>35.0</v>
      </c>
      <c r="E3" s="1">
        <v>40.514</v>
      </c>
      <c r="F3" s="1">
        <v>888.0</v>
      </c>
      <c r="G3" s="1">
        <v>66.7</v>
      </c>
      <c r="H3" s="1">
        <v>1500.0</v>
      </c>
      <c r="I3" s="1">
        <v>1000.0</v>
      </c>
      <c r="J3" s="1">
        <v>33.3</v>
      </c>
      <c r="K3" s="1" t="s">
        <v>49</v>
      </c>
      <c r="L3" s="1" t="s">
        <v>46</v>
      </c>
      <c r="M3" s="3" t="s">
        <v>47</v>
      </c>
      <c r="N3" s="1">
        <v>723.9</v>
      </c>
      <c r="O3" s="1">
        <v>723.9</v>
      </c>
      <c r="P3" s="1">
        <v>6053.0</v>
      </c>
      <c r="Q3" s="1">
        <v>437453.0</v>
      </c>
    </row>
    <row r="4">
      <c r="A4" s="1" t="s">
        <v>50</v>
      </c>
      <c r="B4" s="1" t="s">
        <v>24</v>
      </c>
      <c r="C4" s="1" t="b">
        <v>0</v>
      </c>
      <c r="D4" s="1">
        <v>35.0</v>
      </c>
      <c r="E4" s="1">
        <v>41.171</v>
      </c>
      <c r="F4" s="1">
        <v>378.0</v>
      </c>
      <c r="G4" s="1">
        <v>66.7</v>
      </c>
      <c r="H4" s="1">
        <v>1500.0</v>
      </c>
      <c r="I4" s="1">
        <v>1000.0</v>
      </c>
      <c r="J4" s="1">
        <v>33.3</v>
      </c>
      <c r="K4" s="1" t="s">
        <v>51</v>
      </c>
      <c r="L4" s="1" t="s">
        <v>46</v>
      </c>
      <c r="M4" s="3" t="s">
        <v>47</v>
      </c>
    </row>
    <row r="5">
      <c r="A5" s="1" t="s">
        <v>52</v>
      </c>
      <c r="B5" s="1" t="s">
        <v>24</v>
      </c>
      <c r="C5" s="1" t="b">
        <v>0</v>
      </c>
      <c r="D5" s="1">
        <v>35.0</v>
      </c>
      <c r="E5" s="1">
        <v>41.557</v>
      </c>
      <c r="F5" s="1">
        <v>322.0</v>
      </c>
      <c r="G5" s="1">
        <v>66.7</v>
      </c>
      <c r="H5" s="1">
        <v>1500.0</v>
      </c>
      <c r="I5" s="1">
        <v>1000.0</v>
      </c>
      <c r="J5" s="1">
        <v>33.3</v>
      </c>
      <c r="K5" s="1" t="s">
        <v>53</v>
      </c>
      <c r="L5" s="1" t="s">
        <v>46</v>
      </c>
      <c r="M5" s="3" t="s">
        <v>47</v>
      </c>
    </row>
    <row r="6">
      <c r="A6" s="1" t="s">
        <v>54</v>
      </c>
      <c r="B6" s="1" t="s">
        <v>24</v>
      </c>
      <c r="C6" s="1" t="b">
        <v>0</v>
      </c>
      <c r="D6" s="1">
        <v>35.0</v>
      </c>
      <c r="E6" s="1">
        <v>39.882</v>
      </c>
      <c r="F6" s="1">
        <v>222.0</v>
      </c>
      <c r="G6" s="1">
        <v>100.0</v>
      </c>
      <c r="H6" s="1">
        <v>1500.0</v>
      </c>
      <c r="I6" s="1">
        <v>1500.0</v>
      </c>
      <c r="J6" s="1">
        <v>0.0</v>
      </c>
      <c r="K6" s="1" t="s">
        <v>55</v>
      </c>
      <c r="L6" s="1" t="s">
        <v>56</v>
      </c>
      <c r="M6" s="3" t="s">
        <v>47</v>
      </c>
    </row>
    <row r="7">
      <c r="A7" s="1" t="s">
        <v>57</v>
      </c>
      <c r="B7" s="1" t="s">
        <v>24</v>
      </c>
      <c r="C7" s="1" t="b">
        <v>0</v>
      </c>
      <c r="D7" s="1">
        <v>35.0</v>
      </c>
      <c r="E7" s="1">
        <v>40.25</v>
      </c>
      <c r="F7" s="1">
        <v>488.0</v>
      </c>
      <c r="G7" s="1">
        <v>100.0</v>
      </c>
      <c r="H7" s="1">
        <v>1500.0</v>
      </c>
      <c r="I7" s="1">
        <v>1500.0</v>
      </c>
      <c r="J7" s="1">
        <v>0.0</v>
      </c>
      <c r="K7" s="1" t="s">
        <v>58</v>
      </c>
      <c r="L7" s="1" t="s">
        <v>56</v>
      </c>
      <c r="M7" s="3" t="s">
        <v>47</v>
      </c>
    </row>
    <row r="8">
      <c r="A8" s="1" t="s">
        <v>59</v>
      </c>
      <c r="B8" s="1" t="s">
        <v>24</v>
      </c>
      <c r="C8" s="1" t="b">
        <v>0</v>
      </c>
      <c r="D8" s="1">
        <v>35.0</v>
      </c>
      <c r="E8" s="1">
        <v>40.125</v>
      </c>
      <c r="F8" s="1">
        <v>301.0</v>
      </c>
      <c r="G8" s="1">
        <v>100.0</v>
      </c>
      <c r="H8" s="1">
        <v>1500.0</v>
      </c>
      <c r="I8" s="1">
        <v>1500.0</v>
      </c>
      <c r="J8" s="1">
        <v>0.0</v>
      </c>
      <c r="K8" s="1" t="s">
        <v>60</v>
      </c>
      <c r="L8" s="1" t="s">
        <v>56</v>
      </c>
      <c r="M8" s="3" t="s">
        <v>47</v>
      </c>
    </row>
    <row r="9">
      <c r="A9" s="1" t="s">
        <v>61</v>
      </c>
      <c r="B9" s="1" t="s">
        <v>24</v>
      </c>
      <c r="C9" s="1" t="b">
        <v>0</v>
      </c>
      <c r="D9" s="1">
        <v>35.0</v>
      </c>
      <c r="E9" s="1">
        <v>40.817</v>
      </c>
      <c r="F9" s="1">
        <v>907.0</v>
      </c>
      <c r="G9" s="1">
        <v>99.33</v>
      </c>
      <c r="H9" s="1">
        <v>1500.0</v>
      </c>
      <c r="I9" s="1">
        <v>1499.0</v>
      </c>
      <c r="J9" s="1">
        <v>0.67</v>
      </c>
      <c r="K9" s="1" t="s">
        <v>62</v>
      </c>
      <c r="L9" s="1" t="s">
        <v>56</v>
      </c>
      <c r="M9" s="3" t="s">
        <v>47</v>
      </c>
    </row>
    <row r="10">
      <c r="A10" s="1" t="s">
        <v>63</v>
      </c>
      <c r="B10" s="1" t="s">
        <v>24</v>
      </c>
      <c r="C10" s="1" t="b">
        <v>0</v>
      </c>
      <c r="D10" s="1">
        <v>35.0</v>
      </c>
      <c r="E10" s="1">
        <v>39.984</v>
      </c>
      <c r="F10" s="1">
        <v>290.0</v>
      </c>
      <c r="G10" s="1">
        <v>100.0</v>
      </c>
      <c r="H10" s="1">
        <v>1500.0</v>
      </c>
      <c r="I10" s="1">
        <v>1500.0</v>
      </c>
      <c r="J10" s="1">
        <v>0.0</v>
      </c>
      <c r="K10" s="1" t="s">
        <v>64</v>
      </c>
      <c r="L10" s="1" t="s">
        <v>56</v>
      </c>
      <c r="M10" s="3" t="s">
        <v>47</v>
      </c>
    </row>
    <row r="11">
      <c r="A11" s="1" t="s">
        <v>65</v>
      </c>
      <c r="B11" s="1" t="s">
        <v>24</v>
      </c>
      <c r="C11" s="1" t="b">
        <v>0</v>
      </c>
      <c r="D11" s="1">
        <v>35.0</v>
      </c>
      <c r="E11" s="1">
        <v>40.014</v>
      </c>
      <c r="F11" s="1">
        <v>207.0</v>
      </c>
      <c r="G11" s="1">
        <v>100.0</v>
      </c>
      <c r="H11" s="1">
        <v>1500.0</v>
      </c>
      <c r="I11" s="1">
        <v>1500.0</v>
      </c>
      <c r="J11" s="1">
        <v>0.0</v>
      </c>
      <c r="K11" s="1" t="s">
        <v>66</v>
      </c>
      <c r="L11" s="1" t="s">
        <v>56</v>
      </c>
      <c r="M11" s="3" t="s">
        <v>47</v>
      </c>
    </row>
    <row r="12">
      <c r="A12" s="1" t="s">
        <v>67</v>
      </c>
      <c r="B12" s="1" t="s">
        <v>24</v>
      </c>
      <c r="C12" s="1" t="b">
        <v>0</v>
      </c>
      <c r="D12" s="1">
        <v>35.0</v>
      </c>
      <c r="E12" s="1">
        <v>41.903</v>
      </c>
      <c r="F12" s="1">
        <v>107.0</v>
      </c>
      <c r="G12" s="1">
        <v>100.0</v>
      </c>
      <c r="H12" s="1">
        <v>1500.0</v>
      </c>
      <c r="I12" s="1">
        <v>1500.0</v>
      </c>
      <c r="J12" s="1">
        <v>0.0</v>
      </c>
      <c r="K12" s="1" t="s">
        <v>68</v>
      </c>
      <c r="L12" s="1" t="s">
        <v>56</v>
      </c>
      <c r="M12" s="3" t="s">
        <v>47</v>
      </c>
    </row>
    <row r="13">
      <c r="A13" s="1" t="s">
        <v>69</v>
      </c>
      <c r="B13" s="1" t="s">
        <v>24</v>
      </c>
      <c r="C13" s="1" t="b">
        <v>0</v>
      </c>
      <c r="D13" s="1">
        <v>34.0</v>
      </c>
      <c r="E13" s="1">
        <v>40.932</v>
      </c>
      <c r="F13" s="1">
        <v>91.0</v>
      </c>
      <c r="G13" s="1">
        <v>100.0</v>
      </c>
      <c r="H13" s="1">
        <v>1500.0</v>
      </c>
      <c r="I13" s="1">
        <v>1500.0</v>
      </c>
      <c r="J13" s="1">
        <v>0.0</v>
      </c>
      <c r="K13" s="1" t="s">
        <v>70</v>
      </c>
      <c r="L13" s="1" t="s">
        <v>56</v>
      </c>
      <c r="M13" s="3" t="s">
        <v>47</v>
      </c>
    </row>
    <row r="14">
      <c r="A14" s="1" t="s">
        <v>71</v>
      </c>
      <c r="B14" s="1" t="s">
        <v>24</v>
      </c>
      <c r="C14" s="1" t="b">
        <v>0</v>
      </c>
      <c r="D14" s="1">
        <v>35.0</v>
      </c>
      <c r="E14" s="1">
        <v>40.746</v>
      </c>
      <c r="F14" s="1">
        <v>177.0</v>
      </c>
      <c r="G14" s="1">
        <v>100.0</v>
      </c>
      <c r="H14" s="1">
        <v>1500.0</v>
      </c>
      <c r="I14" s="1">
        <v>1500.0</v>
      </c>
      <c r="J14" s="1">
        <v>0.0</v>
      </c>
      <c r="K14" s="1" t="s">
        <v>72</v>
      </c>
      <c r="L14" s="1" t="s">
        <v>56</v>
      </c>
      <c r="M14" s="3" t="s">
        <v>47</v>
      </c>
    </row>
    <row r="15">
      <c r="A15" s="1" t="s">
        <v>67</v>
      </c>
      <c r="B15" s="1" t="s">
        <v>24</v>
      </c>
      <c r="C15" s="1" t="b">
        <v>0</v>
      </c>
      <c r="D15" s="1">
        <v>35.0</v>
      </c>
      <c r="E15" s="1">
        <v>43.322</v>
      </c>
      <c r="F15" s="1">
        <v>316.0</v>
      </c>
      <c r="G15" s="1">
        <v>100.0</v>
      </c>
      <c r="H15" s="1">
        <v>1500.0</v>
      </c>
      <c r="I15" s="1">
        <v>1500.0</v>
      </c>
      <c r="J15" s="1">
        <v>0.0</v>
      </c>
      <c r="K15" s="1" t="s">
        <v>73</v>
      </c>
      <c r="L15" s="1" t="s">
        <v>56</v>
      </c>
      <c r="M15" s="3" t="s">
        <v>47</v>
      </c>
    </row>
    <row r="16">
      <c r="A16" s="1" t="s">
        <v>74</v>
      </c>
      <c r="B16" s="1" t="s">
        <v>24</v>
      </c>
      <c r="C16" s="1" t="b">
        <v>0</v>
      </c>
      <c r="D16" s="1">
        <v>35.0</v>
      </c>
      <c r="E16" s="1">
        <v>41.092</v>
      </c>
      <c r="F16" s="1">
        <v>314.0</v>
      </c>
      <c r="G16" s="1">
        <v>100.0</v>
      </c>
      <c r="H16" s="1">
        <v>1500.0</v>
      </c>
      <c r="I16" s="1">
        <v>1500.0</v>
      </c>
      <c r="J16" s="1">
        <v>0.0</v>
      </c>
      <c r="K16" s="1" t="s">
        <v>75</v>
      </c>
      <c r="L16" s="1" t="s">
        <v>56</v>
      </c>
      <c r="M16" s="3" t="s">
        <v>47</v>
      </c>
    </row>
    <row r="17">
      <c r="A17" s="1" t="s">
        <v>76</v>
      </c>
      <c r="B17" s="1" t="s">
        <v>24</v>
      </c>
      <c r="C17" s="1" t="b">
        <v>0</v>
      </c>
      <c r="D17" s="1">
        <v>35.0</v>
      </c>
      <c r="E17" s="1">
        <v>41.048</v>
      </c>
      <c r="F17" s="1">
        <v>273.0</v>
      </c>
      <c r="G17" s="1">
        <v>100.0</v>
      </c>
      <c r="H17" s="1">
        <v>1500.0</v>
      </c>
      <c r="I17" s="1">
        <v>1500.0</v>
      </c>
      <c r="J17" s="1">
        <v>0.0</v>
      </c>
      <c r="K17" s="1" t="s">
        <v>77</v>
      </c>
      <c r="L17" s="1" t="s">
        <v>56</v>
      </c>
      <c r="M17" s="3" t="s">
        <v>47</v>
      </c>
    </row>
    <row r="18">
      <c r="A18" s="1" t="s">
        <v>78</v>
      </c>
      <c r="B18" s="1" t="s">
        <v>24</v>
      </c>
      <c r="C18" s="1" t="b">
        <v>0</v>
      </c>
      <c r="D18" s="1">
        <v>35.0</v>
      </c>
      <c r="E18" s="1">
        <v>42.214</v>
      </c>
      <c r="F18" s="1">
        <v>857.0</v>
      </c>
      <c r="G18" s="1">
        <v>98.46</v>
      </c>
      <c r="H18" s="1">
        <v>1500.0</v>
      </c>
      <c r="I18" s="1">
        <v>1477.0</v>
      </c>
      <c r="J18" s="1">
        <v>1.54</v>
      </c>
      <c r="K18" s="1" t="s">
        <v>79</v>
      </c>
      <c r="L18" s="1" t="s">
        <v>56</v>
      </c>
      <c r="M18" s="3" t="s">
        <v>47</v>
      </c>
    </row>
    <row r="19">
      <c r="A19" s="1" t="s">
        <v>80</v>
      </c>
      <c r="B19" s="1" t="s">
        <v>24</v>
      </c>
      <c r="C19" s="1" t="b">
        <v>0</v>
      </c>
      <c r="D19" s="1">
        <v>35.0</v>
      </c>
      <c r="E19" s="1">
        <v>40.21</v>
      </c>
      <c r="F19" s="1">
        <v>490.0</v>
      </c>
      <c r="G19" s="1">
        <v>100.0</v>
      </c>
      <c r="H19" s="1">
        <v>1500.0</v>
      </c>
      <c r="I19" s="1">
        <v>1500.0</v>
      </c>
      <c r="J19" s="1">
        <v>0.0</v>
      </c>
      <c r="K19" s="1" t="s">
        <v>81</v>
      </c>
      <c r="L19" s="1" t="s">
        <v>56</v>
      </c>
      <c r="M19" s="3" t="s">
        <v>47</v>
      </c>
    </row>
    <row r="20">
      <c r="A20" s="1" t="s">
        <v>82</v>
      </c>
      <c r="B20" s="1" t="s">
        <v>24</v>
      </c>
      <c r="C20" s="1" t="b">
        <v>0</v>
      </c>
      <c r="D20" s="1">
        <v>35.0</v>
      </c>
      <c r="E20" s="1">
        <v>41.261</v>
      </c>
      <c r="F20" s="1">
        <v>442.0</v>
      </c>
      <c r="G20" s="1">
        <v>100.0</v>
      </c>
      <c r="H20" s="1">
        <v>1500.0</v>
      </c>
      <c r="I20" s="1">
        <v>1500.0</v>
      </c>
      <c r="J20" s="1">
        <v>0.0</v>
      </c>
      <c r="K20" s="1" t="s">
        <v>83</v>
      </c>
      <c r="L20" s="1" t="s">
        <v>56</v>
      </c>
      <c r="M20" s="3" t="s">
        <v>47</v>
      </c>
    </row>
    <row r="21">
      <c r="A21" s="1" t="s">
        <v>84</v>
      </c>
      <c r="B21" s="1" t="s">
        <v>24</v>
      </c>
      <c r="C21" s="1" t="b">
        <v>0</v>
      </c>
      <c r="D21" s="1">
        <v>35.0</v>
      </c>
      <c r="E21" s="1">
        <v>41.419</v>
      </c>
      <c r="F21" s="1">
        <v>480.0</v>
      </c>
      <c r="G21" s="1">
        <v>100.0</v>
      </c>
      <c r="H21" s="1">
        <v>1500.0</v>
      </c>
      <c r="I21" s="1">
        <v>1500.0</v>
      </c>
      <c r="J21" s="1">
        <v>0.0</v>
      </c>
      <c r="K21" s="1" t="s">
        <v>85</v>
      </c>
      <c r="L21" s="1" t="s">
        <v>56</v>
      </c>
      <c r="M21" s="3" t="s">
        <v>47</v>
      </c>
    </row>
    <row r="22">
      <c r="A22" s="1" t="s">
        <v>86</v>
      </c>
      <c r="B22" s="1" t="s">
        <v>24</v>
      </c>
      <c r="C22" s="1" t="b">
        <v>0</v>
      </c>
      <c r="D22" s="1">
        <v>35.0</v>
      </c>
      <c r="E22" s="1">
        <v>39.896</v>
      </c>
      <c r="F22" s="1">
        <v>301.0</v>
      </c>
      <c r="G22" s="1">
        <v>100.0</v>
      </c>
      <c r="H22" s="1">
        <v>1500.0</v>
      </c>
      <c r="I22" s="1">
        <v>1500.0</v>
      </c>
      <c r="J22" s="1">
        <v>0.0</v>
      </c>
      <c r="K22" s="1" t="s">
        <v>87</v>
      </c>
      <c r="L22" s="1" t="s">
        <v>56</v>
      </c>
      <c r="M22" s="3" t="s">
        <v>47</v>
      </c>
    </row>
    <row r="23">
      <c r="A23" s="1" t="s">
        <v>88</v>
      </c>
      <c r="B23" s="1" t="s">
        <v>89</v>
      </c>
      <c r="C23" s="1" t="b">
        <v>0</v>
      </c>
      <c r="D23" s="1">
        <v>35.0</v>
      </c>
      <c r="E23" s="1">
        <v>40.082</v>
      </c>
      <c r="F23" s="1">
        <v>397.0</v>
      </c>
      <c r="G23" s="1">
        <v>100.0</v>
      </c>
      <c r="H23" s="1">
        <v>1500.0</v>
      </c>
      <c r="I23" s="1">
        <v>1500.0</v>
      </c>
      <c r="J23" s="1">
        <v>0.0</v>
      </c>
      <c r="K23" s="1" t="s">
        <v>90</v>
      </c>
      <c r="L23" s="1" t="s">
        <v>56</v>
      </c>
      <c r="M23" s="3" t="s">
        <v>47</v>
      </c>
    </row>
    <row r="24">
      <c r="A24" s="1" t="s">
        <v>91</v>
      </c>
      <c r="B24" s="1" t="s">
        <v>92</v>
      </c>
      <c r="C24" s="1" t="b">
        <v>0</v>
      </c>
      <c r="D24" s="1">
        <v>35.0</v>
      </c>
      <c r="E24" s="1">
        <v>39.991</v>
      </c>
      <c r="F24" s="1">
        <v>272.0</v>
      </c>
      <c r="G24" s="1">
        <v>100.0</v>
      </c>
      <c r="H24" s="1">
        <v>1500.0</v>
      </c>
      <c r="I24" s="1">
        <v>1500.0</v>
      </c>
      <c r="J24" s="1">
        <v>0.0</v>
      </c>
      <c r="K24" s="1" t="s">
        <v>93</v>
      </c>
      <c r="L24" s="1" t="s">
        <v>56</v>
      </c>
      <c r="M24" s="3" t="s">
        <v>47</v>
      </c>
    </row>
    <row r="25">
      <c r="A25" s="1" t="s">
        <v>94</v>
      </c>
      <c r="B25" s="1" t="s">
        <v>95</v>
      </c>
      <c r="C25" s="1" t="b">
        <v>0</v>
      </c>
      <c r="D25" s="1">
        <v>34.0</v>
      </c>
      <c r="E25" s="1">
        <v>40.773</v>
      </c>
      <c r="F25" s="1">
        <v>292.0</v>
      </c>
      <c r="G25" s="1">
        <v>100.0</v>
      </c>
      <c r="H25" s="1">
        <v>1500.0</v>
      </c>
      <c r="I25" s="1">
        <v>1500.0</v>
      </c>
      <c r="J25" s="1">
        <v>0.0</v>
      </c>
      <c r="K25" s="1" t="s">
        <v>96</v>
      </c>
      <c r="L25" s="1" t="s">
        <v>56</v>
      </c>
      <c r="M25" s="3" t="s">
        <v>47</v>
      </c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  <row r="201">
      <c r="M201" s="4"/>
    </row>
    <row r="202">
      <c r="M202" s="4"/>
    </row>
    <row r="203">
      <c r="M203" s="4"/>
    </row>
    <row r="204">
      <c r="M204" s="4"/>
    </row>
    <row r="205">
      <c r="M205" s="4"/>
    </row>
    <row r="206">
      <c r="M206" s="4"/>
    </row>
    <row r="207">
      <c r="M207" s="4"/>
    </row>
    <row r="208">
      <c r="M208" s="4"/>
    </row>
    <row r="209">
      <c r="M209" s="4"/>
    </row>
    <row r="210">
      <c r="M210" s="4"/>
    </row>
    <row r="211">
      <c r="M211" s="4"/>
    </row>
    <row r="212">
      <c r="M212" s="4"/>
    </row>
    <row r="213">
      <c r="M213" s="4"/>
    </row>
    <row r="214">
      <c r="M214" s="4"/>
    </row>
    <row r="215">
      <c r="M215" s="4"/>
    </row>
    <row r="216">
      <c r="M216" s="4"/>
    </row>
    <row r="217">
      <c r="M217" s="4"/>
    </row>
    <row r="218">
      <c r="M218" s="4"/>
    </row>
    <row r="219">
      <c r="M219" s="4"/>
    </row>
    <row r="220">
      <c r="M220" s="4"/>
    </row>
    <row r="221">
      <c r="M221" s="4"/>
    </row>
    <row r="222">
      <c r="M222" s="4"/>
    </row>
    <row r="223">
      <c r="M223" s="4"/>
    </row>
    <row r="224">
      <c r="M224" s="4"/>
    </row>
    <row r="225">
      <c r="M225" s="4"/>
    </row>
    <row r="226">
      <c r="M226" s="4"/>
    </row>
    <row r="227">
      <c r="M227" s="4"/>
    </row>
    <row r="228">
      <c r="M228" s="4"/>
    </row>
    <row r="229">
      <c r="M229" s="4"/>
    </row>
    <row r="230">
      <c r="M230" s="4"/>
    </row>
    <row r="231">
      <c r="M231" s="4"/>
    </row>
    <row r="232">
      <c r="M232" s="4"/>
    </row>
    <row r="233">
      <c r="M233" s="4"/>
    </row>
    <row r="234">
      <c r="M234" s="4"/>
    </row>
    <row r="235">
      <c r="M235" s="4"/>
    </row>
    <row r="236">
      <c r="M236" s="4"/>
    </row>
    <row r="237">
      <c r="M237" s="4"/>
    </row>
    <row r="238">
      <c r="M238" s="4"/>
    </row>
    <row r="239">
      <c r="M239" s="4"/>
    </row>
    <row r="240">
      <c r="M240" s="4"/>
    </row>
    <row r="241">
      <c r="M241" s="4"/>
    </row>
    <row r="242">
      <c r="M242" s="4"/>
    </row>
    <row r="243">
      <c r="M243" s="4"/>
    </row>
    <row r="244">
      <c r="M244" s="4"/>
    </row>
    <row r="245">
      <c r="M245" s="4"/>
    </row>
    <row r="246">
      <c r="M246" s="4"/>
    </row>
    <row r="247">
      <c r="M247" s="4"/>
    </row>
    <row r="248">
      <c r="M248" s="4"/>
    </row>
    <row r="249">
      <c r="M249" s="4"/>
    </row>
    <row r="250">
      <c r="M250" s="4"/>
    </row>
    <row r="251">
      <c r="M251" s="4"/>
    </row>
    <row r="252">
      <c r="M252" s="4"/>
    </row>
    <row r="253">
      <c r="M253" s="4"/>
    </row>
    <row r="254">
      <c r="M254" s="4"/>
    </row>
    <row r="255">
      <c r="M255" s="4"/>
    </row>
    <row r="256">
      <c r="M256" s="4"/>
    </row>
    <row r="257">
      <c r="M257" s="4"/>
    </row>
    <row r="258">
      <c r="M258" s="4"/>
    </row>
    <row r="259">
      <c r="M259" s="4"/>
    </row>
    <row r="260">
      <c r="M260" s="4"/>
    </row>
    <row r="261">
      <c r="M261" s="4"/>
    </row>
    <row r="262">
      <c r="M262" s="4"/>
    </row>
    <row r="263">
      <c r="M263" s="4"/>
    </row>
    <row r="264">
      <c r="M264" s="4"/>
    </row>
    <row r="265">
      <c r="M265" s="4"/>
    </row>
    <row r="266">
      <c r="M266" s="4"/>
    </row>
    <row r="267">
      <c r="M267" s="4"/>
    </row>
    <row r="268">
      <c r="M268" s="4"/>
    </row>
    <row r="269">
      <c r="M269" s="4"/>
    </row>
    <row r="270">
      <c r="M270" s="4"/>
    </row>
    <row r="271">
      <c r="M271" s="4"/>
    </row>
    <row r="272">
      <c r="M272" s="4"/>
    </row>
    <row r="273">
      <c r="M273" s="4"/>
    </row>
    <row r="274">
      <c r="M274" s="4"/>
    </row>
    <row r="275">
      <c r="M275" s="4"/>
    </row>
    <row r="276">
      <c r="M276" s="4"/>
    </row>
    <row r="277">
      <c r="M277" s="4"/>
    </row>
    <row r="278">
      <c r="M278" s="4"/>
    </row>
    <row r="279">
      <c r="M279" s="4"/>
    </row>
    <row r="280">
      <c r="M280" s="4"/>
    </row>
    <row r="281">
      <c r="M281" s="4"/>
    </row>
    <row r="282">
      <c r="M282" s="4"/>
    </row>
    <row r="283">
      <c r="M283" s="4"/>
    </row>
    <row r="284">
      <c r="M284" s="4"/>
    </row>
    <row r="285">
      <c r="M285" s="4"/>
    </row>
    <row r="286">
      <c r="M286" s="4"/>
    </row>
    <row r="287">
      <c r="M287" s="4"/>
    </row>
    <row r="288">
      <c r="M288" s="4"/>
    </row>
    <row r="289">
      <c r="M289" s="4"/>
    </row>
    <row r="290">
      <c r="M290" s="4"/>
    </row>
    <row r="291">
      <c r="M291" s="4"/>
    </row>
    <row r="292">
      <c r="M292" s="4"/>
    </row>
    <row r="293">
      <c r="M293" s="4"/>
    </row>
    <row r="294">
      <c r="M294" s="4"/>
    </row>
    <row r="295">
      <c r="M295" s="4"/>
    </row>
    <row r="296">
      <c r="M296" s="4"/>
    </row>
    <row r="297">
      <c r="M297" s="4"/>
    </row>
    <row r="298">
      <c r="M298" s="4"/>
    </row>
    <row r="299">
      <c r="M299" s="4"/>
    </row>
    <row r="300">
      <c r="M300" s="4"/>
    </row>
    <row r="301">
      <c r="M301" s="4"/>
    </row>
    <row r="302">
      <c r="M302" s="4"/>
    </row>
    <row r="303">
      <c r="M303" s="4"/>
    </row>
    <row r="304">
      <c r="M304" s="4"/>
    </row>
    <row r="305">
      <c r="M305" s="4"/>
    </row>
    <row r="306">
      <c r="M306" s="4"/>
    </row>
    <row r="307">
      <c r="M307" s="4"/>
    </row>
    <row r="308">
      <c r="M308" s="4"/>
    </row>
    <row r="309">
      <c r="M309" s="4"/>
    </row>
    <row r="310">
      <c r="M310" s="4"/>
    </row>
    <row r="311">
      <c r="M311" s="4"/>
    </row>
    <row r="312">
      <c r="M312" s="4"/>
    </row>
    <row r="313">
      <c r="M313" s="4"/>
    </row>
    <row r="314">
      <c r="M314" s="4"/>
    </row>
    <row r="315">
      <c r="M315" s="4"/>
    </row>
    <row r="316">
      <c r="M316" s="4"/>
    </row>
    <row r="317">
      <c r="M317" s="4"/>
    </row>
    <row r="318">
      <c r="M318" s="4"/>
    </row>
    <row r="319">
      <c r="M319" s="4"/>
    </row>
    <row r="320">
      <c r="M320" s="4"/>
    </row>
    <row r="321">
      <c r="M321" s="4"/>
    </row>
    <row r="322">
      <c r="M322" s="4"/>
    </row>
    <row r="323">
      <c r="M323" s="4"/>
    </row>
    <row r="324">
      <c r="M324" s="4"/>
    </row>
    <row r="325">
      <c r="M325" s="4"/>
    </row>
    <row r="326">
      <c r="M326" s="4"/>
    </row>
    <row r="327">
      <c r="M327" s="4"/>
    </row>
    <row r="328">
      <c r="M328" s="4"/>
    </row>
    <row r="329">
      <c r="M329" s="4"/>
    </row>
    <row r="330">
      <c r="M330" s="4"/>
    </row>
    <row r="331">
      <c r="M331" s="4"/>
    </row>
    <row r="332">
      <c r="M332" s="4"/>
    </row>
    <row r="333">
      <c r="M333" s="4"/>
    </row>
    <row r="334">
      <c r="M334" s="4"/>
    </row>
    <row r="335">
      <c r="M335" s="4"/>
    </row>
    <row r="336">
      <c r="M336" s="4"/>
    </row>
    <row r="337">
      <c r="M337" s="4"/>
    </row>
    <row r="338">
      <c r="M338" s="4"/>
    </row>
    <row r="339">
      <c r="M339" s="4"/>
    </row>
    <row r="340">
      <c r="M340" s="4"/>
    </row>
    <row r="341">
      <c r="M341" s="4"/>
    </row>
    <row r="342">
      <c r="M342" s="4"/>
    </row>
    <row r="343">
      <c r="M343" s="4"/>
    </row>
    <row r="344">
      <c r="M344" s="4"/>
    </row>
    <row r="345">
      <c r="M345" s="4"/>
    </row>
    <row r="346">
      <c r="M346" s="4"/>
    </row>
    <row r="347">
      <c r="M347" s="4"/>
    </row>
    <row r="348">
      <c r="M348" s="4"/>
    </row>
    <row r="349">
      <c r="M349" s="4"/>
    </row>
    <row r="350">
      <c r="M350" s="4"/>
    </row>
    <row r="351">
      <c r="M351" s="4"/>
    </row>
    <row r="352">
      <c r="M352" s="4"/>
    </row>
    <row r="353">
      <c r="M353" s="4"/>
    </row>
    <row r="354">
      <c r="M354" s="4"/>
    </row>
    <row r="355">
      <c r="M355" s="4"/>
    </row>
    <row r="356">
      <c r="M356" s="4"/>
    </row>
    <row r="357">
      <c r="M357" s="4"/>
    </row>
    <row r="358">
      <c r="M358" s="4"/>
    </row>
    <row r="359">
      <c r="M359" s="4"/>
    </row>
    <row r="360">
      <c r="M360" s="4"/>
    </row>
    <row r="361">
      <c r="M361" s="4"/>
    </row>
    <row r="362">
      <c r="M362" s="4"/>
    </row>
    <row r="363">
      <c r="M363" s="4"/>
    </row>
    <row r="364">
      <c r="M364" s="4"/>
    </row>
    <row r="365">
      <c r="M365" s="4"/>
    </row>
    <row r="366">
      <c r="M366" s="4"/>
    </row>
    <row r="367">
      <c r="M367" s="4"/>
    </row>
    <row r="368">
      <c r="M368" s="4"/>
    </row>
    <row r="369">
      <c r="M369" s="4"/>
    </row>
    <row r="370">
      <c r="M370" s="4"/>
    </row>
    <row r="371">
      <c r="M371" s="4"/>
    </row>
    <row r="372">
      <c r="M372" s="4"/>
    </row>
    <row r="373">
      <c r="M373" s="4"/>
    </row>
    <row r="374">
      <c r="M374" s="4"/>
    </row>
    <row r="375">
      <c r="M375" s="4"/>
    </row>
    <row r="376">
      <c r="M376" s="4"/>
    </row>
    <row r="377">
      <c r="M377" s="4"/>
    </row>
    <row r="378">
      <c r="M378" s="4"/>
    </row>
    <row r="379">
      <c r="M379" s="4"/>
    </row>
    <row r="380">
      <c r="M380" s="4"/>
    </row>
    <row r="381">
      <c r="M381" s="4"/>
    </row>
    <row r="382">
      <c r="M382" s="4"/>
    </row>
    <row r="383">
      <c r="M383" s="4"/>
    </row>
    <row r="384">
      <c r="M384" s="4"/>
    </row>
    <row r="385">
      <c r="M385" s="4"/>
    </row>
    <row r="386">
      <c r="M386" s="4"/>
    </row>
    <row r="387">
      <c r="M387" s="4"/>
    </row>
    <row r="388">
      <c r="M388" s="4"/>
    </row>
    <row r="389">
      <c r="M389" s="4"/>
    </row>
    <row r="390">
      <c r="M390" s="4"/>
    </row>
    <row r="391">
      <c r="M391" s="4"/>
    </row>
    <row r="392">
      <c r="M392" s="4"/>
    </row>
    <row r="393">
      <c r="M393" s="4"/>
    </row>
    <row r="394">
      <c r="M394" s="4"/>
    </row>
    <row r="395">
      <c r="M395" s="4"/>
    </row>
    <row r="396">
      <c r="M396" s="4"/>
    </row>
    <row r="397">
      <c r="M397" s="4"/>
    </row>
    <row r="398">
      <c r="M398" s="4"/>
    </row>
    <row r="399">
      <c r="M399" s="4"/>
    </row>
    <row r="400">
      <c r="M400" s="4"/>
    </row>
    <row r="401">
      <c r="M401" s="4"/>
    </row>
    <row r="402">
      <c r="M402" s="4"/>
    </row>
    <row r="403">
      <c r="M403" s="4"/>
    </row>
    <row r="404">
      <c r="M404" s="4"/>
    </row>
    <row r="405">
      <c r="M405" s="4"/>
    </row>
    <row r="406">
      <c r="M406" s="4"/>
    </row>
    <row r="407">
      <c r="M407" s="4"/>
    </row>
    <row r="408">
      <c r="M408" s="4"/>
    </row>
    <row r="409">
      <c r="M409" s="4"/>
    </row>
    <row r="410">
      <c r="M410" s="4"/>
    </row>
    <row r="411">
      <c r="M411" s="4"/>
    </row>
    <row r="412">
      <c r="M412" s="4"/>
    </row>
    <row r="413">
      <c r="M413" s="4"/>
    </row>
    <row r="414">
      <c r="M414" s="4"/>
    </row>
    <row r="415">
      <c r="M415" s="4"/>
    </row>
    <row r="416">
      <c r="M416" s="4"/>
    </row>
    <row r="417">
      <c r="M417" s="4"/>
    </row>
    <row r="418">
      <c r="M418" s="4"/>
    </row>
    <row r="419">
      <c r="M419" s="4"/>
    </row>
    <row r="420">
      <c r="M420" s="4"/>
    </row>
    <row r="421">
      <c r="M421" s="4"/>
    </row>
    <row r="422">
      <c r="M422" s="4"/>
    </row>
    <row r="423">
      <c r="M423" s="4"/>
    </row>
    <row r="424">
      <c r="M424" s="4"/>
    </row>
    <row r="425">
      <c r="M425" s="4"/>
    </row>
    <row r="426">
      <c r="M426" s="4"/>
    </row>
    <row r="427">
      <c r="M427" s="4"/>
    </row>
    <row r="428">
      <c r="M428" s="4"/>
    </row>
    <row r="429">
      <c r="M429" s="4"/>
    </row>
    <row r="430">
      <c r="M430" s="4"/>
    </row>
    <row r="431">
      <c r="M431" s="4"/>
    </row>
    <row r="432">
      <c r="M432" s="4"/>
    </row>
    <row r="433">
      <c r="M433" s="4"/>
    </row>
    <row r="434">
      <c r="M434" s="4"/>
    </row>
    <row r="435">
      <c r="M435" s="4"/>
    </row>
    <row r="436">
      <c r="M436" s="4"/>
    </row>
    <row r="437">
      <c r="M437" s="4"/>
    </row>
    <row r="438">
      <c r="M438" s="4"/>
    </row>
    <row r="439">
      <c r="M439" s="4"/>
    </row>
    <row r="440">
      <c r="M440" s="4"/>
    </row>
    <row r="441">
      <c r="M441" s="4"/>
    </row>
    <row r="442">
      <c r="M442" s="4"/>
    </row>
    <row r="443">
      <c r="M443" s="4"/>
    </row>
    <row r="444">
      <c r="M444" s="4"/>
    </row>
    <row r="445">
      <c r="M445" s="4"/>
    </row>
    <row r="446">
      <c r="M446" s="4"/>
    </row>
    <row r="447">
      <c r="M447" s="4"/>
    </row>
    <row r="448">
      <c r="M448" s="4"/>
    </row>
    <row r="449">
      <c r="M449" s="4"/>
    </row>
    <row r="450">
      <c r="M450" s="4"/>
    </row>
    <row r="451">
      <c r="M451" s="4"/>
    </row>
    <row r="452">
      <c r="M452" s="4"/>
    </row>
    <row r="453">
      <c r="M453" s="4"/>
    </row>
    <row r="454">
      <c r="M454" s="4"/>
    </row>
    <row r="455">
      <c r="M455" s="4"/>
    </row>
    <row r="456">
      <c r="M456" s="4"/>
    </row>
    <row r="457">
      <c r="M457" s="4"/>
    </row>
    <row r="458">
      <c r="M458" s="4"/>
    </row>
    <row r="459">
      <c r="M459" s="4"/>
    </row>
    <row r="460">
      <c r="M460" s="4"/>
    </row>
    <row r="461">
      <c r="M461" s="4"/>
    </row>
    <row r="462">
      <c r="M462" s="4"/>
    </row>
    <row r="463">
      <c r="M463" s="4"/>
    </row>
    <row r="464">
      <c r="M464" s="4"/>
    </row>
    <row r="465">
      <c r="M465" s="4"/>
    </row>
    <row r="466">
      <c r="M466" s="4"/>
    </row>
    <row r="467">
      <c r="M467" s="4"/>
    </row>
    <row r="468">
      <c r="M468" s="4"/>
    </row>
    <row r="469">
      <c r="M469" s="4"/>
    </row>
    <row r="470">
      <c r="M470" s="4"/>
    </row>
    <row r="471">
      <c r="M471" s="4"/>
    </row>
    <row r="472">
      <c r="M472" s="4"/>
    </row>
    <row r="473">
      <c r="M473" s="4"/>
    </row>
    <row r="474">
      <c r="M474" s="4"/>
    </row>
    <row r="475">
      <c r="M475" s="4"/>
    </row>
    <row r="476">
      <c r="M476" s="4"/>
    </row>
    <row r="477">
      <c r="M477" s="4"/>
    </row>
    <row r="478">
      <c r="M478" s="4"/>
    </row>
    <row r="479">
      <c r="M479" s="4"/>
    </row>
    <row r="480">
      <c r="M480" s="4"/>
    </row>
    <row r="481">
      <c r="M481" s="4"/>
    </row>
    <row r="482">
      <c r="M482" s="4"/>
    </row>
    <row r="483">
      <c r="M483" s="4"/>
    </row>
    <row r="484">
      <c r="M484" s="4"/>
    </row>
    <row r="485">
      <c r="M485" s="4"/>
    </row>
    <row r="486">
      <c r="M486" s="4"/>
    </row>
    <row r="487">
      <c r="M487" s="4"/>
    </row>
    <row r="488">
      <c r="M488" s="4"/>
    </row>
    <row r="489">
      <c r="M489" s="4"/>
    </row>
    <row r="490">
      <c r="M490" s="4"/>
    </row>
    <row r="491">
      <c r="M491" s="4"/>
    </row>
    <row r="492">
      <c r="M492" s="4"/>
    </row>
    <row r="493">
      <c r="M493" s="4"/>
    </row>
    <row r="494">
      <c r="M494" s="4"/>
    </row>
    <row r="495">
      <c r="M495" s="4"/>
    </row>
    <row r="496">
      <c r="M496" s="4"/>
    </row>
    <row r="497">
      <c r="M497" s="4"/>
    </row>
    <row r="498">
      <c r="M498" s="4"/>
    </row>
    <row r="499">
      <c r="M499" s="4"/>
    </row>
    <row r="500">
      <c r="M500" s="4"/>
    </row>
    <row r="501">
      <c r="M501" s="4"/>
    </row>
    <row r="502">
      <c r="M502" s="4"/>
    </row>
    <row r="503">
      <c r="M503" s="4"/>
    </row>
    <row r="504">
      <c r="M504" s="4"/>
    </row>
    <row r="505">
      <c r="M505" s="4"/>
    </row>
    <row r="506">
      <c r="M506" s="4"/>
    </row>
    <row r="507">
      <c r="M507" s="4"/>
    </row>
    <row r="508">
      <c r="M508" s="4"/>
    </row>
    <row r="509">
      <c r="M509" s="4"/>
    </row>
    <row r="510">
      <c r="M510" s="4"/>
    </row>
    <row r="511">
      <c r="M511" s="4"/>
    </row>
    <row r="512">
      <c r="M512" s="4"/>
    </row>
    <row r="513">
      <c r="M513" s="4"/>
    </row>
    <row r="514">
      <c r="M514" s="4"/>
    </row>
    <row r="515">
      <c r="M515" s="4"/>
    </row>
    <row r="516">
      <c r="M516" s="4"/>
    </row>
    <row r="517">
      <c r="M517" s="4"/>
    </row>
    <row r="518">
      <c r="M518" s="4"/>
    </row>
    <row r="519">
      <c r="M519" s="4"/>
    </row>
    <row r="520">
      <c r="M520" s="4"/>
    </row>
    <row r="521">
      <c r="M521" s="4"/>
    </row>
    <row r="522">
      <c r="M522" s="4"/>
    </row>
    <row r="523">
      <c r="M523" s="4"/>
    </row>
    <row r="524">
      <c r="M524" s="4"/>
    </row>
    <row r="525">
      <c r="M525" s="4"/>
    </row>
    <row r="526">
      <c r="M526" s="4"/>
    </row>
    <row r="527">
      <c r="M527" s="4"/>
    </row>
    <row r="528">
      <c r="M528" s="4"/>
    </row>
    <row r="529">
      <c r="M529" s="4"/>
    </row>
    <row r="530">
      <c r="M530" s="4"/>
    </row>
    <row r="531">
      <c r="M531" s="4"/>
    </row>
    <row r="532">
      <c r="M532" s="4"/>
    </row>
    <row r="533">
      <c r="M533" s="4"/>
    </row>
    <row r="534">
      <c r="M534" s="4"/>
    </row>
    <row r="535">
      <c r="M535" s="4"/>
    </row>
    <row r="536">
      <c r="M536" s="4"/>
    </row>
    <row r="537">
      <c r="M537" s="4"/>
    </row>
    <row r="538">
      <c r="M538" s="4"/>
    </row>
    <row r="539">
      <c r="M539" s="4"/>
    </row>
    <row r="540">
      <c r="M540" s="4"/>
    </row>
    <row r="541">
      <c r="M541" s="4"/>
    </row>
    <row r="542">
      <c r="M542" s="4"/>
    </row>
    <row r="543">
      <c r="M543" s="4"/>
    </row>
    <row r="544">
      <c r="M544" s="4"/>
    </row>
    <row r="545">
      <c r="M545" s="4"/>
    </row>
    <row r="546">
      <c r="M546" s="4"/>
    </row>
    <row r="547">
      <c r="M547" s="4"/>
    </row>
    <row r="548">
      <c r="M548" s="4"/>
    </row>
    <row r="549">
      <c r="M549" s="4"/>
    </row>
    <row r="550">
      <c r="M550" s="4"/>
    </row>
    <row r="551">
      <c r="M551" s="4"/>
    </row>
    <row r="552">
      <c r="M552" s="4"/>
    </row>
    <row r="553">
      <c r="M553" s="4"/>
    </row>
    <row r="554">
      <c r="M554" s="4"/>
    </row>
    <row r="555">
      <c r="M555" s="4"/>
    </row>
    <row r="556">
      <c r="M556" s="4"/>
    </row>
    <row r="557">
      <c r="M557" s="4"/>
    </row>
    <row r="558">
      <c r="M558" s="4"/>
    </row>
    <row r="559">
      <c r="M559" s="4"/>
    </row>
    <row r="560">
      <c r="M560" s="4"/>
    </row>
    <row r="561">
      <c r="M561" s="4"/>
    </row>
    <row r="562">
      <c r="M562" s="4"/>
    </row>
    <row r="563">
      <c r="M563" s="4"/>
    </row>
    <row r="564">
      <c r="M564" s="4"/>
    </row>
    <row r="565">
      <c r="M565" s="4"/>
    </row>
    <row r="566">
      <c r="M566" s="4"/>
    </row>
    <row r="567">
      <c r="M567" s="4"/>
    </row>
    <row r="568">
      <c r="M568" s="4"/>
    </row>
    <row r="569">
      <c r="M569" s="4"/>
    </row>
    <row r="570">
      <c r="M570" s="4"/>
    </row>
    <row r="571">
      <c r="M571" s="4"/>
    </row>
    <row r="572">
      <c r="M572" s="4"/>
    </row>
    <row r="573">
      <c r="M573" s="4"/>
    </row>
    <row r="574">
      <c r="M574" s="4"/>
    </row>
    <row r="575">
      <c r="M575" s="4"/>
    </row>
    <row r="576">
      <c r="M576" s="4"/>
    </row>
    <row r="577">
      <c r="M577" s="4"/>
    </row>
    <row r="578">
      <c r="M578" s="4"/>
    </row>
    <row r="579">
      <c r="M579" s="4"/>
    </row>
    <row r="580">
      <c r="M580" s="4"/>
    </row>
    <row r="581">
      <c r="M581" s="4"/>
    </row>
    <row r="582">
      <c r="M582" s="4"/>
    </row>
    <row r="583">
      <c r="M583" s="4"/>
    </row>
    <row r="584">
      <c r="M584" s="4"/>
    </row>
    <row r="585">
      <c r="M585" s="4"/>
    </row>
    <row r="586">
      <c r="M586" s="4"/>
    </row>
    <row r="587">
      <c r="M587" s="4"/>
    </row>
    <row r="588">
      <c r="M588" s="4"/>
    </row>
    <row r="589">
      <c r="M589" s="4"/>
    </row>
    <row r="590">
      <c r="M590" s="4"/>
    </row>
    <row r="591">
      <c r="M591" s="4"/>
    </row>
    <row r="592">
      <c r="M592" s="4"/>
    </row>
    <row r="593">
      <c r="M593" s="4"/>
    </row>
    <row r="594">
      <c r="M594" s="4"/>
    </row>
    <row r="595">
      <c r="M595" s="4"/>
    </row>
    <row r="596">
      <c r="M596" s="4"/>
    </row>
    <row r="597">
      <c r="M597" s="4"/>
    </row>
    <row r="598">
      <c r="M598" s="4"/>
    </row>
    <row r="599">
      <c r="M599" s="4"/>
    </row>
    <row r="600">
      <c r="M600" s="4"/>
    </row>
    <row r="601">
      <c r="M601" s="4"/>
    </row>
    <row r="602">
      <c r="M602" s="4"/>
    </row>
    <row r="603">
      <c r="M603" s="4"/>
    </row>
    <row r="604">
      <c r="M604" s="4"/>
    </row>
    <row r="605">
      <c r="M605" s="4"/>
    </row>
    <row r="606">
      <c r="M606" s="4"/>
    </row>
    <row r="607">
      <c r="M607" s="4"/>
    </row>
    <row r="608">
      <c r="M608" s="4"/>
    </row>
    <row r="609">
      <c r="M609" s="4"/>
    </row>
    <row r="610">
      <c r="M610" s="4"/>
    </row>
    <row r="611">
      <c r="M611" s="4"/>
    </row>
    <row r="612">
      <c r="M612" s="4"/>
    </row>
    <row r="613">
      <c r="M613" s="4"/>
    </row>
    <row r="614">
      <c r="M614" s="4"/>
    </row>
    <row r="615">
      <c r="M615" s="4"/>
    </row>
    <row r="616">
      <c r="M616" s="4"/>
    </row>
    <row r="617">
      <c r="M617" s="4"/>
    </row>
    <row r="618">
      <c r="M618" s="4"/>
    </row>
    <row r="619">
      <c r="M619" s="4"/>
    </row>
    <row r="620">
      <c r="M620" s="4"/>
    </row>
    <row r="621">
      <c r="M621" s="4"/>
    </row>
    <row r="622">
      <c r="M622" s="4"/>
    </row>
    <row r="623">
      <c r="M623" s="4"/>
    </row>
    <row r="624">
      <c r="M624" s="4"/>
    </row>
    <row r="625">
      <c r="M625" s="4"/>
    </row>
    <row r="626">
      <c r="M626" s="4"/>
    </row>
    <row r="627">
      <c r="M627" s="4"/>
    </row>
    <row r="628">
      <c r="M628" s="4"/>
    </row>
    <row r="629">
      <c r="M629" s="4"/>
    </row>
    <row r="630">
      <c r="M630" s="4"/>
    </row>
    <row r="631">
      <c r="M631" s="4"/>
    </row>
    <row r="632">
      <c r="M632" s="4"/>
    </row>
    <row r="633">
      <c r="M633" s="4"/>
    </row>
    <row r="634">
      <c r="M634" s="4"/>
    </row>
    <row r="635">
      <c r="M635" s="4"/>
    </row>
    <row r="636">
      <c r="M636" s="4"/>
    </row>
    <row r="637">
      <c r="M637" s="4"/>
    </row>
    <row r="638">
      <c r="M638" s="4"/>
    </row>
    <row r="639">
      <c r="M639" s="4"/>
    </row>
    <row r="640">
      <c r="M640" s="4"/>
    </row>
    <row r="641">
      <c r="M641" s="4"/>
    </row>
    <row r="642">
      <c r="M642" s="4"/>
    </row>
    <row r="643">
      <c r="M643" s="4"/>
    </row>
    <row r="644">
      <c r="M644" s="4"/>
    </row>
    <row r="645">
      <c r="M645" s="4"/>
    </row>
    <row r="646">
      <c r="M646" s="4"/>
    </row>
    <row r="647">
      <c r="M647" s="4"/>
    </row>
    <row r="648">
      <c r="M648" s="4"/>
    </row>
    <row r="649">
      <c r="M649" s="4"/>
    </row>
    <row r="650">
      <c r="M650" s="4"/>
    </row>
    <row r="651">
      <c r="M651" s="4"/>
    </row>
    <row r="652">
      <c r="M652" s="4"/>
    </row>
    <row r="653">
      <c r="M653" s="4"/>
    </row>
    <row r="654">
      <c r="M654" s="4"/>
    </row>
    <row r="655">
      <c r="M655" s="4"/>
    </row>
    <row r="656">
      <c r="M656" s="4"/>
    </row>
    <row r="657">
      <c r="M657" s="4"/>
    </row>
    <row r="658">
      <c r="M658" s="4"/>
    </row>
    <row r="659">
      <c r="M659" s="4"/>
    </row>
    <row r="660">
      <c r="M660" s="4"/>
    </row>
    <row r="661">
      <c r="M661" s="4"/>
    </row>
    <row r="662">
      <c r="M662" s="4"/>
    </row>
    <row r="663">
      <c r="M663" s="4"/>
    </row>
    <row r="664">
      <c r="M664" s="4"/>
    </row>
    <row r="665">
      <c r="M665" s="4"/>
    </row>
    <row r="666">
      <c r="M666" s="4"/>
    </row>
    <row r="667">
      <c r="M667" s="4"/>
    </row>
    <row r="668">
      <c r="M668" s="4"/>
    </row>
    <row r="669">
      <c r="M669" s="4"/>
    </row>
    <row r="670">
      <c r="M670" s="4"/>
    </row>
    <row r="671">
      <c r="M671" s="4"/>
    </row>
    <row r="672">
      <c r="M672" s="4"/>
    </row>
    <row r="673">
      <c r="M673" s="4"/>
    </row>
    <row r="674">
      <c r="M674" s="4"/>
    </row>
    <row r="675">
      <c r="M675" s="4"/>
    </row>
    <row r="676">
      <c r="M676" s="4"/>
    </row>
    <row r="677">
      <c r="M677" s="4"/>
    </row>
    <row r="678">
      <c r="M678" s="4"/>
    </row>
    <row r="679">
      <c r="M679" s="4"/>
    </row>
    <row r="680">
      <c r="M680" s="4"/>
    </row>
    <row r="681">
      <c r="M681" s="4"/>
    </row>
    <row r="682">
      <c r="M682" s="4"/>
    </row>
    <row r="683">
      <c r="M683" s="4"/>
    </row>
    <row r="684">
      <c r="M684" s="4"/>
    </row>
    <row r="685">
      <c r="M685" s="4"/>
    </row>
    <row r="686">
      <c r="M686" s="4"/>
    </row>
    <row r="687">
      <c r="M687" s="4"/>
    </row>
    <row r="688">
      <c r="M688" s="4"/>
    </row>
    <row r="689">
      <c r="M689" s="4"/>
    </row>
    <row r="690">
      <c r="M690" s="4"/>
    </row>
    <row r="691">
      <c r="M691" s="4"/>
    </row>
    <row r="692">
      <c r="M692" s="4"/>
    </row>
    <row r="693">
      <c r="M693" s="4"/>
    </row>
    <row r="694">
      <c r="M694" s="4"/>
    </row>
    <row r="695">
      <c r="M695" s="4"/>
    </row>
    <row r="696">
      <c r="M696" s="4"/>
    </row>
    <row r="697">
      <c r="M697" s="4"/>
    </row>
    <row r="698">
      <c r="M698" s="4"/>
    </row>
    <row r="699">
      <c r="M699" s="4"/>
    </row>
    <row r="700">
      <c r="M700" s="4"/>
    </row>
    <row r="701">
      <c r="M701" s="4"/>
    </row>
    <row r="702">
      <c r="M702" s="4"/>
    </row>
    <row r="703">
      <c r="M703" s="4"/>
    </row>
    <row r="704">
      <c r="M704" s="4"/>
    </row>
    <row r="705">
      <c r="M705" s="4"/>
    </row>
    <row r="706">
      <c r="M706" s="4"/>
    </row>
    <row r="707">
      <c r="M707" s="4"/>
    </row>
    <row r="708">
      <c r="M708" s="4"/>
    </row>
    <row r="709">
      <c r="M709" s="4"/>
    </row>
    <row r="710">
      <c r="M710" s="4"/>
    </row>
    <row r="711">
      <c r="M711" s="4"/>
    </row>
    <row r="712">
      <c r="M712" s="4"/>
    </row>
    <row r="713">
      <c r="M713" s="4"/>
    </row>
    <row r="714">
      <c r="M714" s="4"/>
    </row>
    <row r="715">
      <c r="M715" s="4"/>
    </row>
    <row r="716">
      <c r="M716" s="4"/>
    </row>
    <row r="717">
      <c r="M717" s="4"/>
    </row>
    <row r="718">
      <c r="M718" s="4"/>
    </row>
    <row r="719">
      <c r="M719" s="4"/>
    </row>
    <row r="720">
      <c r="M720" s="4"/>
    </row>
    <row r="721">
      <c r="M721" s="4"/>
    </row>
    <row r="722">
      <c r="M722" s="4"/>
    </row>
    <row r="723">
      <c r="M723" s="4"/>
    </row>
    <row r="724">
      <c r="M724" s="4"/>
    </row>
    <row r="725">
      <c r="M725" s="4"/>
    </row>
    <row r="726">
      <c r="M726" s="4"/>
    </row>
    <row r="727">
      <c r="M727" s="4"/>
    </row>
    <row r="728">
      <c r="M728" s="4"/>
    </row>
    <row r="729">
      <c r="M729" s="4"/>
    </row>
    <row r="730">
      <c r="M730" s="4"/>
    </row>
    <row r="731">
      <c r="M731" s="4"/>
    </row>
    <row r="732">
      <c r="M732" s="4"/>
    </row>
    <row r="733">
      <c r="M733" s="4"/>
    </row>
    <row r="734">
      <c r="M734" s="4"/>
    </row>
    <row r="735">
      <c r="M735" s="4"/>
    </row>
    <row r="736">
      <c r="M736" s="4"/>
    </row>
    <row r="737">
      <c r="M737" s="4"/>
    </row>
    <row r="738">
      <c r="M738" s="4"/>
    </row>
    <row r="739">
      <c r="M739" s="4"/>
    </row>
    <row r="740">
      <c r="M740" s="4"/>
    </row>
    <row r="741">
      <c r="M741" s="4"/>
    </row>
    <row r="742">
      <c r="M742" s="4"/>
    </row>
    <row r="743">
      <c r="M743" s="4"/>
    </row>
    <row r="744">
      <c r="M744" s="4"/>
    </row>
    <row r="745">
      <c r="M745" s="4"/>
    </row>
    <row r="746">
      <c r="M746" s="4"/>
    </row>
    <row r="747">
      <c r="M747" s="4"/>
    </row>
    <row r="748">
      <c r="M748" s="4"/>
    </row>
    <row r="749">
      <c r="M749" s="4"/>
    </row>
    <row r="750">
      <c r="M750" s="4"/>
    </row>
    <row r="751">
      <c r="M751" s="4"/>
    </row>
    <row r="752">
      <c r="M752" s="4"/>
    </row>
    <row r="753">
      <c r="M753" s="4"/>
    </row>
    <row r="754">
      <c r="M754" s="4"/>
    </row>
    <row r="755">
      <c r="M755" s="4"/>
    </row>
    <row r="756">
      <c r="M756" s="4"/>
    </row>
    <row r="757">
      <c r="M757" s="4"/>
    </row>
    <row r="758">
      <c r="M758" s="4"/>
    </row>
    <row r="759">
      <c r="M759" s="4"/>
    </row>
    <row r="760">
      <c r="M760" s="4"/>
    </row>
    <row r="761">
      <c r="M761" s="4"/>
    </row>
    <row r="762">
      <c r="M762" s="4"/>
    </row>
    <row r="763">
      <c r="M763" s="4"/>
    </row>
    <row r="764">
      <c r="M764" s="4"/>
    </row>
    <row r="765">
      <c r="M765" s="4"/>
    </row>
    <row r="766">
      <c r="M766" s="4"/>
    </row>
    <row r="767">
      <c r="M767" s="4"/>
    </row>
    <row r="768">
      <c r="M768" s="4"/>
    </row>
    <row r="769">
      <c r="M769" s="4"/>
    </row>
    <row r="770">
      <c r="M770" s="4"/>
    </row>
    <row r="771">
      <c r="M771" s="4"/>
    </row>
    <row r="772">
      <c r="M772" s="4"/>
    </row>
    <row r="773">
      <c r="M773" s="4"/>
    </row>
    <row r="774">
      <c r="M774" s="4"/>
    </row>
    <row r="775">
      <c r="M775" s="4"/>
    </row>
    <row r="776">
      <c r="M776" s="4"/>
    </row>
    <row r="777">
      <c r="M777" s="4"/>
    </row>
    <row r="778">
      <c r="M778" s="4"/>
    </row>
    <row r="779">
      <c r="M779" s="4"/>
    </row>
    <row r="780">
      <c r="M780" s="4"/>
    </row>
    <row r="781">
      <c r="M781" s="4"/>
    </row>
    <row r="782">
      <c r="M782" s="4"/>
    </row>
    <row r="783">
      <c r="M783" s="4"/>
    </row>
    <row r="784">
      <c r="M784" s="4"/>
    </row>
    <row r="785">
      <c r="M785" s="4"/>
    </row>
    <row r="786">
      <c r="M786" s="4"/>
    </row>
    <row r="787">
      <c r="M787" s="4"/>
    </row>
    <row r="788">
      <c r="M788" s="4"/>
    </row>
    <row r="789">
      <c r="M789" s="4"/>
    </row>
    <row r="790">
      <c r="M790" s="4"/>
    </row>
    <row r="791">
      <c r="M791" s="4"/>
    </row>
    <row r="792">
      <c r="M792" s="4"/>
    </row>
    <row r="793">
      <c r="M793" s="4"/>
    </row>
    <row r="794">
      <c r="M794" s="4"/>
    </row>
    <row r="795">
      <c r="M795" s="4"/>
    </row>
    <row r="796">
      <c r="M796" s="4"/>
    </row>
    <row r="797">
      <c r="M797" s="4"/>
    </row>
    <row r="798">
      <c r="M798" s="4"/>
    </row>
    <row r="799">
      <c r="M799" s="4"/>
    </row>
    <row r="800">
      <c r="M800" s="4"/>
    </row>
    <row r="801">
      <c r="M801" s="4"/>
    </row>
    <row r="802">
      <c r="M802" s="4"/>
    </row>
    <row r="803">
      <c r="M803" s="4"/>
    </row>
    <row r="804">
      <c r="M804" s="4"/>
    </row>
    <row r="805">
      <c r="M805" s="4"/>
    </row>
    <row r="806">
      <c r="M806" s="4"/>
    </row>
    <row r="807">
      <c r="M807" s="4"/>
    </row>
    <row r="808">
      <c r="M808" s="4"/>
    </row>
    <row r="809">
      <c r="M809" s="4"/>
    </row>
    <row r="810">
      <c r="M810" s="4"/>
    </row>
    <row r="811">
      <c r="M811" s="4"/>
    </row>
    <row r="812">
      <c r="M812" s="4"/>
    </row>
    <row r="813">
      <c r="M813" s="4"/>
    </row>
    <row r="814">
      <c r="M814" s="4"/>
    </row>
    <row r="815">
      <c r="M815" s="4"/>
    </row>
    <row r="816">
      <c r="M816" s="4"/>
    </row>
    <row r="817">
      <c r="M817" s="4"/>
    </row>
    <row r="818">
      <c r="M818" s="4"/>
    </row>
    <row r="819">
      <c r="M819" s="4"/>
    </row>
    <row r="820">
      <c r="M820" s="4"/>
    </row>
    <row r="821">
      <c r="M821" s="4"/>
    </row>
    <row r="822">
      <c r="M822" s="4"/>
    </row>
    <row r="823">
      <c r="M823" s="4"/>
    </row>
    <row r="824">
      <c r="M824" s="4"/>
    </row>
    <row r="825">
      <c r="M825" s="4"/>
    </row>
    <row r="826">
      <c r="M826" s="4"/>
    </row>
    <row r="827">
      <c r="M827" s="4"/>
    </row>
    <row r="828">
      <c r="M828" s="4"/>
    </row>
    <row r="829">
      <c r="M829" s="4"/>
    </row>
    <row r="830">
      <c r="M830" s="4"/>
    </row>
    <row r="831">
      <c r="M831" s="4"/>
    </row>
    <row r="832">
      <c r="M832" s="4"/>
    </row>
    <row r="833">
      <c r="M833" s="4"/>
    </row>
    <row r="834">
      <c r="M834" s="4"/>
    </row>
    <row r="835">
      <c r="M835" s="4"/>
    </row>
    <row r="836">
      <c r="M836" s="4"/>
    </row>
    <row r="837">
      <c r="M837" s="4"/>
    </row>
    <row r="838">
      <c r="M838" s="4"/>
    </row>
    <row r="839">
      <c r="M839" s="4"/>
    </row>
    <row r="840">
      <c r="M840" s="4"/>
    </row>
    <row r="841">
      <c r="M841" s="4"/>
    </row>
    <row r="842">
      <c r="M842" s="4"/>
    </row>
    <row r="843">
      <c r="M843" s="4"/>
    </row>
    <row r="844">
      <c r="M844" s="4"/>
    </row>
    <row r="845">
      <c r="M845" s="4"/>
    </row>
    <row r="846">
      <c r="M846" s="4"/>
    </row>
    <row r="847">
      <c r="M847" s="4"/>
    </row>
    <row r="848">
      <c r="M848" s="4"/>
    </row>
    <row r="849">
      <c r="M849" s="4"/>
    </row>
    <row r="850">
      <c r="M850" s="4"/>
    </row>
    <row r="851">
      <c r="M851" s="4"/>
    </row>
    <row r="852">
      <c r="M852" s="4"/>
    </row>
    <row r="853">
      <c r="M853" s="4"/>
    </row>
    <row r="854">
      <c r="M854" s="4"/>
    </row>
    <row r="855">
      <c r="M855" s="4"/>
    </row>
    <row r="856">
      <c r="M856" s="4"/>
    </row>
    <row r="857">
      <c r="M857" s="4"/>
    </row>
    <row r="858">
      <c r="M858" s="4"/>
    </row>
    <row r="859">
      <c r="M859" s="4"/>
    </row>
    <row r="860">
      <c r="M860" s="4"/>
    </row>
    <row r="861">
      <c r="M861" s="4"/>
    </row>
    <row r="862">
      <c r="M862" s="4"/>
    </row>
    <row r="863">
      <c r="M863" s="4"/>
    </row>
    <row r="864">
      <c r="M864" s="4"/>
    </row>
    <row r="865">
      <c r="M865" s="4"/>
    </row>
    <row r="866">
      <c r="M866" s="4"/>
    </row>
    <row r="867">
      <c r="M867" s="4"/>
    </row>
    <row r="868">
      <c r="M868" s="4"/>
    </row>
    <row r="869">
      <c r="M869" s="4"/>
    </row>
    <row r="870">
      <c r="M870" s="4"/>
    </row>
    <row r="871">
      <c r="M871" s="4"/>
    </row>
    <row r="872">
      <c r="M872" s="4"/>
    </row>
    <row r="873">
      <c r="M873" s="4"/>
    </row>
    <row r="874">
      <c r="M874" s="4"/>
    </row>
    <row r="875">
      <c r="M875" s="4"/>
    </row>
    <row r="876">
      <c r="M876" s="4"/>
    </row>
    <row r="877">
      <c r="M877" s="4"/>
    </row>
    <row r="878">
      <c r="M878" s="4"/>
    </row>
    <row r="879">
      <c r="M879" s="4"/>
    </row>
    <row r="880">
      <c r="M880" s="4"/>
    </row>
    <row r="881">
      <c r="M881" s="4"/>
    </row>
    <row r="882">
      <c r="M882" s="4"/>
    </row>
    <row r="883">
      <c r="M883" s="4"/>
    </row>
    <row r="884">
      <c r="M884" s="4"/>
    </row>
    <row r="885">
      <c r="M885" s="4"/>
    </row>
    <row r="886">
      <c r="M886" s="4"/>
    </row>
    <row r="887">
      <c r="M887" s="4"/>
    </row>
    <row r="888">
      <c r="M888" s="4"/>
    </row>
    <row r="889">
      <c r="M889" s="4"/>
    </row>
    <row r="890">
      <c r="M890" s="4"/>
    </row>
    <row r="891">
      <c r="M891" s="4"/>
    </row>
    <row r="892">
      <c r="M892" s="4"/>
    </row>
    <row r="893">
      <c r="M893" s="4"/>
    </row>
    <row r="894">
      <c r="M894" s="4"/>
    </row>
    <row r="895">
      <c r="M895" s="4"/>
    </row>
    <row r="896">
      <c r="M896" s="4"/>
    </row>
    <row r="897">
      <c r="M897" s="4"/>
    </row>
    <row r="898">
      <c r="M898" s="4"/>
    </row>
    <row r="899">
      <c r="M899" s="4"/>
    </row>
    <row r="900">
      <c r="M900" s="4"/>
    </row>
    <row r="901">
      <c r="M901" s="4"/>
    </row>
    <row r="902">
      <c r="M902" s="4"/>
    </row>
    <row r="903">
      <c r="M903" s="4"/>
    </row>
    <row r="904">
      <c r="M904" s="4"/>
    </row>
    <row r="905">
      <c r="M905" s="4"/>
    </row>
    <row r="906">
      <c r="M906" s="4"/>
    </row>
    <row r="907">
      <c r="M907" s="4"/>
    </row>
    <row r="908">
      <c r="M908" s="4"/>
    </row>
    <row r="909">
      <c r="M909" s="4"/>
    </row>
    <row r="910">
      <c r="M910" s="4"/>
    </row>
    <row r="911">
      <c r="M911" s="4"/>
    </row>
    <row r="912">
      <c r="M912" s="4"/>
    </row>
    <row r="913">
      <c r="M913" s="4"/>
    </row>
    <row r="914">
      <c r="M914" s="4"/>
    </row>
    <row r="915">
      <c r="M915" s="4"/>
    </row>
    <row r="916">
      <c r="M916" s="4"/>
    </row>
    <row r="917">
      <c r="M917" s="4"/>
    </row>
    <row r="918">
      <c r="M918" s="4"/>
    </row>
    <row r="919">
      <c r="M919" s="4"/>
    </row>
    <row r="920">
      <c r="M920" s="4"/>
    </row>
    <row r="921">
      <c r="M921" s="4"/>
    </row>
    <row r="922">
      <c r="M922" s="4"/>
    </row>
    <row r="923">
      <c r="M923" s="4"/>
    </row>
    <row r="924">
      <c r="M924" s="4"/>
    </row>
    <row r="925">
      <c r="M925" s="4"/>
    </row>
    <row r="926">
      <c r="M926" s="4"/>
    </row>
    <row r="927">
      <c r="M927" s="4"/>
    </row>
    <row r="928">
      <c r="M928" s="4"/>
    </row>
    <row r="929">
      <c r="M929" s="4"/>
    </row>
    <row r="930">
      <c r="M930" s="4"/>
    </row>
    <row r="931">
      <c r="M931" s="4"/>
    </row>
    <row r="932">
      <c r="M932" s="4"/>
    </row>
    <row r="933">
      <c r="M933" s="4"/>
    </row>
    <row r="934">
      <c r="M934" s="4"/>
    </row>
    <row r="935">
      <c r="M935" s="4"/>
    </row>
    <row r="936">
      <c r="M936" s="4"/>
    </row>
    <row r="937">
      <c r="M937" s="4"/>
    </row>
    <row r="938">
      <c r="M938" s="4"/>
    </row>
    <row r="939">
      <c r="M939" s="4"/>
    </row>
    <row r="940">
      <c r="M940" s="4"/>
    </row>
    <row r="941">
      <c r="M941" s="4"/>
    </row>
    <row r="942">
      <c r="M942" s="4"/>
    </row>
    <row r="943">
      <c r="M943" s="4"/>
    </row>
    <row r="944">
      <c r="M944" s="4"/>
    </row>
    <row r="945">
      <c r="M945" s="4"/>
    </row>
    <row r="946">
      <c r="M946" s="4"/>
    </row>
    <row r="947">
      <c r="M947" s="4"/>
    </row>
    <row r="948">
      <c r="M948" s="4"/>
    </row>
    <row r="949">
      <c r="M949" s="4"/>
    </row>
    <row r="950">
      <c r="M950" s="4"/>
    </row>
    <row r="951">
      <c r="M951" s="4"/>
    </row>
    <row r="952">
      <c r="M952" s="4"/>
    </row>
    <row r="953">
      <c r="M953" s="4"/>
    </row>
    <row r="954">
      <c r="M954" s="4"/>
    </row>
    <row r="955">
      <c r="M955" s="4"/>
    </row>
    <row r="956">
      <c r="M956" s="4"/>
    </row>
    <row r="957">
      <c r="M957" s="4"/>
    </row>
    <row r="958">
      <c r="M958" s="4"/>
    </row>
    <row r="959">
      <c r="M959" s="4"/>
    </row>
    <row r="960">
      <c r="M960" s="4"/>
    </row>
    <row r="961">
      <c r="M961" s="4"/>
    </row>
    <row r="962">
      <c r="M962" s="4"/>
    </row>
    <row r="963">
      <c r="M963" s="4"/>
    </row>
    <row r="964">
      <c r="M964" s="4"/>
    </row>
    <row r="965">
      <c r="M965" s="4"/>
    </row>
    <row r="966">
      <c r="M966" s="4"/>
    </row>
    <row r="967">
      <c r="M967" s="4"/>
    </row>
    <row r="968">
      <c r="M968" s="4"/>
    </row>
    <row r="969">
      <c r="M969" s="4"/>
    </row>
    <row r="970">
      <c r="M970" s="4"/>
    </row>
    <row r="971">
      <c r="M971" s="4"/>
    </row>
    <row r="972">
      <c r="M972" s="4"/>
    </row>
    <row r="973">
      <c r="M973" s="4"/>
    </row>
    <row r="974">
      <c r="M974" s="4"/>
    </row>
    <row r="975">
      <c r="M975" s="4"/>
    </row>
    <row r="976">
      <c r="M976" s="4"/>
    </row>
    <row r="977">
      <c r="M977" s="4"/>
    </row>
    <row r="978">
      <c r="M978" s="4"/>
    </row>
    <row r="979">
      <c r="M979" s="4"/>
    </row>
    <row r="980">
      <c r="M980" s="4"/>
    </row>
    <row r="981">
      <c r="M981" s="4"/>
    </row>
    <row r="982">
      <c r="M982" s="4"/>
    </row>
    <row r="983">
      <c r="M983" s="4"/>
    </row>
    <row r="984">
      <c r="M984" s="4"/>
    </row>
    <row r="985">
      <c r="M985" s="4"/>
    </row>
    <row r="986">
      <c r="M986" s="4"/>
    </row>
    <row r="987">
      <c r="M987" s="4"/>
    </row>
    <row r="988">
      <c r="M988" s="4"/>
    </row>
    <row r="989">
      <c r="M989" s="4"/>
    </row>
    <row r="990">
      <c r="M990" s="4"/>
    </row>
    <row r="991">
      <c r="M991" s="4"/>
    </row>
    <row r="992">
      <c r="M992" s="4"/>
    </row>
    <row r="993">
      <c r="M993" s="4"/>
    </row>
    <row r="994">
      <c r="M994" s="4"/>
    </row>
    <row r="995">
      <c r="M995" s="4"/>
    </row>
    <row r="996">
      <c r="M996" s="4"/>
    </row>
    <row r="997">
      <c r="M997" s="4"/>
    </row>
    <row r="998">
      <c r="M998" s="4"/>
    </row>
    <row r="999">
      <c r="M999" s="4"/>
    </row>
    <row r="1000">
      <c r="M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37</v>
      </c>
      <c r="I1" s="1" t="s">
        <v>38</v>
      </c>
      <c r="J1" s="1" t="s">
        <v>8</v>
      </c>
      <c r="K1" s="1" t="s">
        <v>39</v>
      </c>
      <c r="L1" s="1" t="s">
        <v>9</v>
      </c>
    </row>
    <row r="2">
      <c r="A2" s="1" t="s">
        <v>97</v>
      </c>
      <c r="B2" s="5">
        <v>46175.0</v>
      </c>
      <c r="C2" s="1">
        <v>36.0</v>
      </c>
      <c r="D2" s="1">
        <v>69.527</v>
      </c>
      <c r="E2" s="1">
        <v>2695.0</v>
      </c>
      <c r="F2" s="1">
        <v>100.0</v>
      </c>
      <c r="G2" s="1">
        <v>1500.0</v>
      </c>
      <c r="H2" s="1">
        <v>1500.0</v>
      </c>
      <c r="I2" s="1">
        <v>0.0</v>
      </c>
      <c r="K2" s="1" t="s">
        <v>98</v>
      </c>
      <c r="L2" s="1" t="s">
        <v>99</v>
      </c>
    </row>
    <row r="3">
      <c r="A3" s="1" t="s">
        <v>100</v>
      </c>
      <c r="B3" s="5">
        <v>46175.0</v>
      </c>
      <c r="C3" s="1">
        <v>36.0</v>
      </c>
      <c r="D3" s="1">
        <v>71.722</v>
      </c>
      <c r="E3" s="1">
        <v>2804.0</v>
      </c>
      <c r="F3" s="1">
        <v>100.0</v>
      </c>
      <c r="G3" s="1">
        <v>1500.0</v>
      </c>
      <c r="H3" s="1">
        <v>1500.0</v>
      </c>
      <c r="I3" s="1">
        <v>0.0</v>
      </c>
      <c r="K3" s="1" t="s">
        <v>98</v>
      </c>
      <c r="L3" s="1" t="s">
        <v>99</v>
      </c>
    </row>
    <row r="4">
      <c r="A4" s="1" t="s">
        <v>101</v>
      </c>
      <c r="B4" s="5">
        <v>46175.0</v>
      </c>
      <c r="C4" s="1">
        <v>35.0</v>
      </c>
      <c r="D4" s="1">
        <v>75.827</v>
      </c>
      <c r="E4" s="1">
        <v>2786.0</v>
      </c>
      <c r="F4" s="1">
        <v>100.0</v>
      </c>
      <c r="G4" s="1">
        <v>1500.0</v>
      </c>
      <c r="H4" s="1">
        <v>1500.0</v>
      </c>
      <c r="I4" s="1">
        <v>0.0</v>
      </c>
      <c r="K4" s="1" t="s">
        <v>98</v>
      </c>
      <c r="L4" s="1" t="s">
        <v>99</v>
      </c>
    </row>
    <row r="5">
      <c r="A5" s="1" t="s">
        <v>102</v>
      </c>
      <c r="B5" s="5">
        <v>46175.0</v>
      </c>
      <c r="C5" s="1">
        <v>38.0</v>
      </c>
      <c r="D5" s="1">
        <v>71.684</v>
      </c>
      <c r="E5" s="1">
        <v>2958.0</v>
      </c>
      <c r="F5" s="1">
        <v>99.93</v>
      </c>
      <c r="G5" s="1">
        <v>1500.0</v>
      </c>
      <c r="H5" s="1">
        <v>1499.0</v>
      </c>
      <c r="I5" s="1">
        <v>0.07</v>
      </c>
      <c r="K5" s="1" t="s">
        <v>98</v>
      </c>
      <c r="L5" s="1" t="s">
        <v>99</v>
      </c>
    </row>
    <row r="6">
      <c r="A6" s="1" t="s">
        <v>103</v>
      </c>
      <c r="B6" s="5">
        <v>46236.0</v>
      </c>
      <c r="C6" s="1">
        <v>39.0</v>
      </c>
      <c r="D6" s="1">
        <v>72.877</v>
      </c>
      <c r="E6" s="1">
        <v>798.0</v>
      </c>
      <c r="F6" s="1">
        <v>100.0</v>
      </c>
      <c r="G6" s="1">
        <v>1500.0</v>
      </c>
      <c r="H6" s="1">
        <v>1500.0</v>
      </c>
      <c r="I6" s="1">
        <v>0.0</v>
      </c>
      <c r="K6" s="1" t="s">
        <v>98</v>
      </c>
      <c r="L6" s="1" t="s">
        <v>99</v>
      </c>
    </row>
    <row r="7">
      <c r="A7" s="1" t="s">
        <v>104</v>
      </c>
      <c r="B7" s="5">
        <v>46236.0</v>
      </c>
      <c r="C7" s="1">
        <v>38.0</v>
      </c>
      <c r="D7" s="1">
        <v>74.097</v>
      </c>
      <c r="E7" s="1">
        <v>785.0</v>
      </c>
      <c r="F7" s="1">
        <v>100.0</v>
      </c>
      <c r="G7" s="1">
        <v>1500.0</v>
      </c>
      <c r="H7" s="1">
        <v>1500.0</v>
      </c>
      <c r="I7" s="1">
        <v>0.0</v>
      </c>
      <c r="K7" s="1" t="s">
        <v>98</v>
      </c>
      <c r="L7" s="1" t="s">
        <v>99</v>
      </c>
    </row>
    <row r="8">
      <c r="A8" s="1" t="s">
        <v>105</v>
      </c>
      <c r="B8" s="5">
        <v>46236.0</v>
      </c>
      <c r="C8" s="1">
        <v>36.0</v>
      </c>
      <c r="D8" s="1">
        <v>72.264</v>
      </c>
      <c r="E8" s="1">
        <v>715.0</v>
      </c>
      <c r="F8" s="1">
        <v>100.0</v>
      </c>
      <c r="G8" s="1">
        <v>1500.0</v>
      </c>
      <c r="H8" s="1">
        <v>1500.0</v>
      </c>
      <c r="I8" s="1">
        <v>0.0</v>
      </c>
      <c r="K8" s="1" t="s">
        <v>98</v>
      </c>
      <c r="L8" s="1" t="s">
        <v>99</v>
      </c>
    </row>
    <row r="9">
      <c r="A9" s="1" t="s">
        <v>106</v>
      </c>
      <c r="B9" s="5">
        <v>46236.0</v>
      </c>
      <c r="C9" s="1">
        <v>36.0</v>
      </c>
      <c r="D9" s="1">
        <v>73.424</v>
      </c>
      <c r="E9" s="1">
        <v>623.0</v>
      </c>
      <c r="F9" s="1">
        <v>100.0</v>
      </c>
      <c r="G9" s="1">
        <v>1500.0</v>
      </c>
      <c r="H9" s="1">
        <v>1500.0</v>
      </c>
      <c r="I9" s="1">
        <v>0.0</v>
      </c>
      <c r="K9" s="1" t="s">
        <v>98</v>
      </c>
      <c r="L9" s="1" t="s">
        <v>99</v>
      </c>
    </row>
    <row r="10">
      <c r="A10" s="1" t="s">
        <v>107</v>
      </c>
      <c r="B10" s="5">
        <v>46236.0</v>
      </c>
      <c r="C10" s="1">
        <v>34.0</v>
      </c>
      <c r="D10" s="1">
        <v>53.335</v>
      </c>
      <c r="E10" s="1">
        <v>613.0</v>
      </c>
      <c r="F10" s="1">
        <v>99.93</v>
      </c>
      <c r="G10" s="1">
        <v>1500.0</v>
      </c>
      <c r="H10" s="1">
        <v>1499.0</v>
      </c>
      <c r="I10" s="1">
        <v>0.07</v>
      </c>
      <c r="K10" s="1" t="s">
        <v>98</v>
      </c>
      <c r="L10" s="1" t="s">
        <v>99</v>
      </c>
    </row>
    <row r="11">
      <c r="A11" s="1" t="s">
        <v>108</v>
      </c>
      <c r="B11" s="5">
        <v>46236.0</v>
      </c>
      <c r="C11" s="1">
        <v>32.0</v>
      </c>
      <c r="D11" s="1">
        <v>41.302</v>
      </c>
      <c r="E11" s="1">
        <v>830.0</v>
      </c>
      <c r="F11" s="1">
        <v>100.0</v>
      </c>
      <c r="G11" s="1">
        <v>1500.0</v>
      </c>
      <c r="H11" s="1">
        <v>1500.0</v>
      </c>
      <c r="I11" s="1">
        <v>0.0</v>
      </c>
      <c r="K11" s="1" t="s">
        <v>98</v>
      </c>
      <c r="L11" s="1" t="s">
        <v>99</v>
      </c>
    </row>
    <row r="12">
      <c r="A12" s="1" t="s">
        <v>109</v>
      </c>
      <c r="B12" s="5">
        <v>46236.0</v>
      </c>
      <c r="C12" s="1">
        <v>32.0</v>
      </c>
      <c r="D12" s="1">
        <v>41.302</v>
      </c>
      <c r="E12" s="1">
        <v>830.0</v>
      </c>
      <c r="F12" s="1">
        <v>100.0</v>
      </c>
      <c r="G12" s="1">
        <v>1500.0</v>
      </c>
      <c r="H12" s="1">
        <v>1500.0</v>
      </c>
      <c r="I12" s="1">
        <v>0.0</v>
      </c>
      <c r="K12" s="1" t="s">
        <v>98</v>
      </c>
      <c r="L12" s="1" t="s">
        <v>99</v>
      </c>
    </row>
    <row r="13">
      <c r="A13" s="1" t="s">
        <v>110</v>
      </c>
      <c r="B13" s="5">
        <v>46236.0</v>
      </c>
      <c r="C13" s="1">
        <v>33.0</v>
      </c>
      <c r="D13" s="1">
        <v>41.279</v>
      </c>
      <c r="E13" s="1">
        <v>608.0</v>
      </c>
      <c r="F13" s="1">
        <v>100.0</v>
      </c>
      <c r="G13" s="1">
        <v>1500.0</v>
      </c>
      <c r="H13" s="1">
        <v>1500.0</v>
      </c>
      <c r="I13" s="1">
        <v>0.0</v>
      </c>
      <c r="K13" s="1" t="s">
        <v>98</v>
      </c>
      <c r="L13" s="1" t="s">
        <v>99</v>
      </c>
    </row>
    <row r="14">
      <c r="A14" s="1" t="s">
        <v>111</v>
      </c>
      <c r="B14" s="5">
        <v>46236.0</v>
      </c>
      <c r="C14" s="1">
        <v>34.0</v>
      </c>
      <c r="D14" s="1">
        <v>41.477</v>
      </c>
      <c r="E14" s="1">
        <v>829.0</v>
      </c>
      <c r="F14" s="1">
        <v>100.0</v>
      </c>
      <c r="G14" s="1">
        <v>1500.0</v>
      </c>
      <c r="H14" s="1">
        <v>1500.0</v>
      </c>
      <c r="I14" s="1">
        <v>0.0</v>
      </c>
      <c r="K14" s="1" t="s">
        <v>98</v>
      </c>
      <c r="L14" s="1" t="s">
        <v>99</v>
      </c>
    </row>
    <row r="15">
      <c r="A15" s="1" t="s">
        <v>112</v>
      </c>
      <c r="B15" s="5">
        <v>46236.0</v>
      </c>
      <c r="C15" s="1">
        <v>33.0</v>
      </c>
      <c r="D15" s="1">
        <v>40.884</v>
      </c>
      <c r="E15" s="1">
        <v>847.0</v>
      </c>
      <c r="F15" s="1">
        <v>100.0</v>
      </c>
      <c r="G15" s="1">
        <v>1500.0</v>
      </c>
      <c r="H15" s="1">
        <v>1500.0</v>
      </c>
      <c r="I15" s="1">
        <v>0.0</v>
      </c>
      <c r="K15" s="1" t="s">
        <v>98</v>
      </c>
      <c r="L15" s="1" t="s">
        <v>99</v>
      </c>
    </row>
    <row r="16">
      <c r="A16" s="1" t="s">
        <v>113</v>
      </c>
      <c r="B16" s="5">
        <v>46236.0</v>
      </c>
      <c r="C16" s="1">
        <v>34.0</v>
      </c>
      <c r="D16" s="1">
        <v>42.024</v>
      </c>
      <c r="E16" s="1">
        <v>698.0</v>
      </c>
      <c r="F16" s="1">
        <v>99.8</v>
      </c>
      <c r="G16" s="1">
        <v>1500.0</v>
      </c>
      <c r="H16" s="1">
        <v>1497.0</v>
      </c>
      <c r="I16" s="1">
        <v>0.2</v>
      </c>
      <c r="K16" s="1" t="s">
        <v>98</v>
      </c>
      <c r="L16" s="1" t="s">
        <v>99</v>
      </c>
    </row>
    <row r="17">
      <c r="A17" s="1" t="s">
        <v>114</v>
      </c>
      <c r="B17" s="5">
        <v>46236.0</v>
      </c>
      <c r="C17" s="1">
        <v>34.0</v>
      </c>
      <c r="D17" s="1">
        <v>40.881</v>
      </c>
      <c r="E17" s="1">
        <v>783.0</v>
      </c>
      <c r="F17" s="1">
        <v>99.67</v>
      </c>
      <c r="G17" s="1">
        <v>1500.0</v>
      </c>
      <c r="H17" s="1">
        <v>1495.0</v>
      </c>
      <c r="I17" s="1">
        <v>0.3</v>
      </c>
      <c r="K17" s="1" t="s">
        <v>98</v>
      </c>
      <c r="L17" s="1" t="s">
        <v>99</v>
      </c>
    </row>
    <row r="18">
      <c r="A18" s="1" t="s">
        <v>115</v>
      </c>
      <c r="B18" s="5">
        <v>46236.0</v>
      </c>
      <c r="C18" s="1">
        <v>34.0</v>
      </c>
      <c r="D18" s="1">
        <v>40.881</v>
      </c>
      <c r="E18" s="1">
        <v>783.0</v>
      </c>
      <c r="F18" s="1">
        <v>99.67</v>
      </c>
      <c r="G18" s="1">
        <v>1500.0</v>
      </c>
      <c r="H18" s="1">
        <v>1495.0</v>
      </c>
      <c r="I18" s="1">
        <v>0.3</v>
      </c>
      <c r="K18" s="1" t="s">
        <v>98</v>
      </c>
      <c r="L18" s="1" t="s">
        <v>99</v>
      </c>
    </row>
    <row r="19">
      <c r="A19" s="1" t="s">
        <v>116</v>
      </c>
      <c r="B19" s="5">
        <v>46236.0</v>
      </c>
      <c r="C19" s="1">
        <v>34.0</v>
      </c>
      <c r="D19" s="1">
        <v>40.553</v>
      </c>
      <c r="E19" s="1">
        <v>791.0</v>
      </c>
      <c r="F19" s="1">
        <v>99.8</v>
      </c>
      <c r="G19" s="1">
        <v>1500.0</v>
      </c>
      <c r="H19" s="1">
        <v>1497.0</v>
      </c>
      <c r="I19" s="1">
        <v>0.2</v>
      </c>
      <c r="K19" s="1" t="s">
        <v>98</v>
      </c>
      <c r="L19" s="1" t="s">
        <v>99</v>
      </c>
    </row>
    <row r="20">
      <c r="A20" s="1" t="s">
        <v>117</v>
      </c>
      <c r="B20" s="5">
        <v>46236.0</v>
      </c>
      <c r="C20" s="1">
        <v>33.0</v>
      </c>
      <c r="D20" s="1">
        <v>40.375</v>
      </c>
      <c r="E20" s="1">
        <v>685.0</v>
      </c>
      <c r="F20" s="1">
        <v>99.67</v>
      </c>
      <c r="G20" s="1">
        <v>1500.0</v>
      </c>
      <c r="H20" s="1">
        <v>1495.0</v>
      </c>
      <c r="I20" s="1">
        <v>0.3</v>
      </c>
      <c r="K20" s="1" t="s">
        <v>98</v>
      </c>
      <c r="L20" s="1" t="s">
        <v>99</v>
      </c>
    </row>
    <row r="21">
      <c r="A21" s="1" t="s">
        <v>118</v>
      </c>
      <c r="B21" s="5">
        <v>46236.0</v>
      </c>
      <c r="C21" s="1">
        <v>35.0</v>
      </c>
      <c r="D21" s="1">
        <v>40.477</v>
      </c>
      <c r="E21" s="1">
        <v>425.0</v>
      </c>
      <c r="F21" s="1">
        <v>100.0</v>
      </c>
      <c r="G21" s="1">
        <v>1500.0</v>
      </c>
      <c r="H21" s="1">
        <v>1500.0</v>
      </c>
      <c r="I21" s="1">
        <v>0.0</v>
      </c>
      <c r="K21" s="1" t="s">
        <v>98</v>
      </c>
      <c r="L21" s="1" t="s">
        <v>99</v>
      </c>
    </row>
    <row r="22">
      <c r="B22" s="5"/>
    </row>
    <row r="23">
      <c r="B23" s="5"/>
    </row>
    <row r="24">
      <c r="B24" s="5"/>
    </row>
    <row r="25">
      <c r="B2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9.88"/>
    <col customWidth="1" min="12" max="12" width="21.38"/>
  </cols>
  <sheetData>
    <row r="1">
      <c r="A1" s="1" t="s">
        <v>0</v>
      </c>
      <c r="B1" s="1" t="s">
        <v>119</v>
      </c>
      <c r="C1" s="1" t="s">
        <v>1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>
      <c r="A2" s="1" t="s">
        <v>129</v>
      </c>
      <c r="B2" s="1" t="b">
        <v>1</v>
      </c>
      <c r="C2" s="5">
        <v>46239.0</v>
      </c>
      <c r="D2" s="1" t="s">
        <v>130</v>
      </c>
      <c r="E2" s="1">
        <v>31.0</v>
      </c>
      <c r="F2" s="1">
        <v>46.092</v>
      </c>
      <c r="G2" s="1">
        <v>2115.0</v>
      </c>
      <c r="H2" s="1">
        <v>100.0</v>
      </c>
      <c r="I2" s="1">
        <v>500.0</v>
      </c>
      <c r="J2" s="1">
        <v>500.0</v>
      </c>
      <c r="K2" s="1">
        <v>0.0</v>
      </c>
      <c r="L2" s="1" t="s">
        <v>131</v>
      </c>
    </row>
    <row r="3">
      <c r="A3" s="1" t="s">
        <v>132</v>
      </c>
      <c r="B3" s="1" t="b">
        <v>1</v>
      </c>
      <c r="C3" s="5">
        <v>46239.0</v>
      </c>
      <c r="D3" s="1" t="s">
        <v>133</v>
      </c>
      <c r="E3" s="1">
        <v>33.0</v>
      </c>
      <c r="F3" s="1">
        <v>42.524</v>
      </c>
      <c r="G3" s="1">
        <v>167.0</v>
      </c>
      <c r="H3" s="1">
        <v>100.0</v>
      </c>
      <c r="I3" s="1">
        <v>500.0</v>
      </c>
      <c r="J3" s="1">
        <v>500.0</v>
      </c>
      <c r="K3" s="1">
        <v>0.0</v>
      </c>
      <c r="L3" s="1" t="s">
        <v>131</v>
      </c>
    </row>
    <row r="4">
      <c r="A4" s="1" t="s">
        <v>134</v>
      </c>
      <c r="B4" s="1" t="b">
        <v>1</v>
      </c>
      <c r="C4" s="5">
        <v>46239.0</v>
      </c>
      <c r="D4" s="1" t="s">
        <v>135</v>
      </c>
      <c r="E4" s="1">
        <v>33.0</v>
      </c>
      <c r="F4" s="1">
        <v>42.3</v>
      </c>
      <c r="G4" s="1">
        <v>167.0</v>
      </c>
      <c r="H4" s="1">
        <v>100.0</v>
      </c>
      <c r="I4" s="1">
        <v>500.0</v>
      </c>
      <c r="J4" s="1">
        <v>500.0</v>
      </c>
      <c r="K4" s="1">
        <v>0.0</v>
      </c>
      <c r="L4" s="1" t="s">
        <v>131</v>
      </c>
    </row>
    <row r="5">
      <c r="A5" s="1" t="s">
        <v>136</v>
      </c>
      <c r="B5" s="1" t="b">
        <v>1</v>
      </c>
      <c r="C5" s="5">
        <v>46239.0</v>
      </c>
      <c r="D5" s="1" t="s">
        <v>137</v>
      </c>
      <c r="E5" s="1">
        <v>33.0</v>
      </c>
      <c r="F5" s="1">
        <v>45.228</v>
      </c>
      <c r="G5" s="1">
        <v>1897.0</v>
      </c>
      <c r="H5" s="1">
        <v>100.0</v>
      </c>
      <c r="I5" s="1">
        <v>500.0</v>
      </c>
      <c r="J5" s="1">
        <v>500.0</v>
      </c>
      <c r="K5" s="1">
        <v>0.0</v>
      </c>
      <c r="L5" s="1" t="s">
        <v>131</v>
      </c>
    </row>
    <row r="6">
      <c r="A6" s="1" t="s">
        <v>138</v>
      </c>
      <c r="B6" s="1" t="b">
        <v>1</v>
      </c>
      <c r="C6" s="5">
        <v>46239.0</v>
      </c>
      <c r="D6" s="1" t="s">
        <v>139</v>
      </c>
      <c r="E6" s="1">
        <v>33.0</v>
      </c>
      <c r="F6" s="1">
        <v>42.01</v>
      </c>
      <c r="G6" s="1">
        <v>455.0</v>
      </c>
      <c r="H6" s="1">
        <v>99.8</v>
      </c>
      <c r="I6" s="1">
        <v>500.0</v>
      </c>
      <c r="J6" s="1">
        <v>499.0</v>
      </c>
      <c r="K6" s="1">
        <v>0.2</v>
      </c>
      <c r="L6" s="1" t="s">
        <v>131</v>
      </c>
    </row>
    <row r="7">
      <c r="A7" s="1" t="s">
        <v>140</v>
      </c>
      <c r="B7" s="1" t="b">
        <v>1</v>
      </c>
      <c r="C7" s="5">
        <v>46239.0</v>
      </c>
      <c r="D7" s="1" t="s">
        <v>141</v>
      </c>
      <c r="E7" s="1">
        <v>34.0</v>
      </c>
      <c r="F7" s="1">
        <v>46.17</v>
      </c>
      <c r="G7" s="1">
        <v>1828.0</v>
      </c>
      <c r="H7" s="1">
        <v>98.4</v>
      </c>
      <c r="I7" s="1">
        <v>500.0</v>
      </c>
      <c r="J7" s="1">
        <v>492.0</v>
      </c>
      <c r="K7" s="1">
        <v>1.6</v>
      </c>
      <c r="L7" s="1" t="s">
        <v>131</v>
      </c>
    </row>
    <row r="8">
      <c r="A8" s="1" t="s">
        <v>142</v>
      </c>
      <c r="B8" s="1" t="b">
        <v>1</v>
      </c>
      <c r="C8" s="5">
        <v>46239.0</v>
      </c>
      <c r="D8" s="1" t="s">
        <v>143</v>
      </c>
      <c r="E8" s="1">
        <v>33.0</v>
      </c>
      <c r="F8" s="1">
        <v>49.638</v>
      </c>
      <c r="G8" s="1">
        <v>2541.0</v>
      </c>
      <c r="H8" s="1">
        <v>100.0</v>
      </c>
      <c r="I8" s="1">
        <v>500.0</v>
      </c>
      <c r="J8" s="1">
        <v>500.0</v>
      </c>
      <c r="K8" s="1">
        <v>0.0</v>
      </c>
      <c r="L8" s="1" t="s">
        <v>131</v>
      </c>
    </row>
    <row r="9">
      <c r="A9" s="1" t="s">
        <v>144</v>
      </c>
      <c r="B9" s="1" t="b">
        <v>1</v>
      </c>
      <c r="C9" s="5">
        <v>46239.0</v>
      </c>
      <c r="D9" s="1" t="s">
        <v>145</v>
      </c>
      <c r="E9" s="1">
        <v>33.0</v>
      </c>
      <c r="F9" s="1">
        <v>48.571</v>
      </c>
      <c r="G9" s="1">
        <v>1814.0</v>
      </c>
      <c r="H9" s="1">
        <v>98.0</v>
      </c>
      <c r="I9" s="1">
        <v>500.0</v>
      </c>
      <c r="J9" s="1">
        <v>499.0</v>
      </c>
      <c r="K9" s="1">
        <v>2.0</v>
      </c>
      <c r="L9" s="1" t="s">
        <v>131</v>
      </c>
    </row>
    <row r="10">
      <c r="A10" s="1" t="s">
        <v>146</v>
      </c>
      <c r="B10" s="1" t="b">
        <v>1</v>
      </c>
      <c r="C10" s="5">
        <v>46239.0</v>
      </c>
      <c r="D10" s="1" t="s">
        <v>147</v>
      </c>
      <c r="E10" s="1">
        <v>32.0</v>
      </c>
      <c r="F10" s="1">
        <v>45.408</v>
      </c>
      <c r="G10" s="1">
        <v>2190.0</v>
      </c>
      <c r="H10" s="1">
        <v>100.0</v>
      </c>
      <c r="I10" s="1">
        <v>500.0</v>
      </c>
      <c r="J10" s="1">
        <v>500.0</v>
      </c>
      <c r="K10" s="1">
        <v>0.0</v>
      </c>
      <c r="L10" s="1" t="s">
        <v>131</v>
      </c>
    </row>
    <row r="11">
      <c r="A11" s="1" t="s">
        <v>148</v>
      </c>
      <c r="B11" s="1" t="b">
        <v>1</v>
      </c>
      <c r="C11" s="5">
        <v>46239.0</v>
      </c>
      <c r="D11" s="1" t="s">
        <v>149</v>
      </c>
      <c r="E11" s="1">
        <v>33.0</v>
      </c>
      <c r="F11" s="1">
        <v>45.008</v>
      </c>
      <c r="G11" s="1">
        <v>1371.0</v>
      </c>
      <c r="H11" s="1">
        <v>100.0</v>
      </c>
      <c r="I11" s="1">
        <v>500.0</v>
      </c>
      <c r="J11" s="1">
        <v>500.0</v>
      </c>
      <c r="K11" s="1">
        <v>0.0</v>
      </c>
      <c r="L11" s="1" t="s">
        <v>131</v>
      </c>
    </row>
    <row r="12">
      <c r="M12" s="1" t="s">
        <v>150</v>
      </c>
    </row>
    <row r="32">
      <c r="C32" s="5"/>
    </row>
    <row r="33">
      <c r="C3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19" max="19" width="14.5"/>
  </cols>
  <sheetData>
    <row r="1">
      <c r="A1" s="1" t="s">
        <v>0</v>
      </c>
      <c r="B1" s="1" t="s">
        <v>119</v>
      </c>
      <c r="C1" s="1" t="s">
        <v>1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N1" s="1" t="s">
        <v>151</v>
      </c>
      <c r="P1" s="1" t="s">
        <v>152</v>
      </c>
      <c r="R1" s="1" t="s">
        <v>153</v>
      </c>
      <c r="S1" s="1" t="s">
        <v>154</v>
      </c>
    </row>
    <row r="2">
      <c r="A2" s="1" t="s">
        <v>155</v>
      </c>
      <c r="B2" s="1" t="b">
        <v>1</v>
      </c>
      <c r="C2" s="5">
        <v>46239.0</v>
      </c>
      <c r="D2" s="1" t="s">
        <v>156</v>
      </c>
      <c r="E2" s="1">
        <v>32.0</v>
      </c>
      <c r="F2" s="1">
        <v>42.063</v>
      </c>
      <c r="G2" s="1">
        <v>1916.0</v>
      </c>
      <c r="H2" s="1">
        <v>99.87</v>
      </c>
      <c r="I2" s="1">
        <v>1500.0</v>
      </c>
      <c r="J2" s="1">
        <v>1498.0</v>
      </c>
      <c r="K2" s="1">
        <v>0.13</v>
      </c>
      <c r="L2" s="1" t="s">
        <v>157</v>
      </c>
      <c r="N2" s="1" t="s">
        <v>158</v>
      </c>
      <c r="O2" s="6">
        <v>11.0</v>
      </c>
      <c r="P2" s="1" t="s">
        <v>159</v>
      </c>
      <c r="Q2" s="1" t="s">
        <v>160</v>
      </c>
    </row>
    <row r="3">
      <c r="A3" s="1" t="s">
        <v>161</v>
      </c>
      <c r="B3" s="1" t="b">
        <v>1</v>
      </c>
      <c r="C3" s="5">
        <v>46239.0</v>
      </c>
      <c r="D3" s="1" t="s">
        <v>162</v>
      </c>
      <c r="E3" s="1">
        <v>32.0</v>
      </c>
      <c r="F3" s="1">
        <v>44.09</v>
      </c>
      <c r="G3" s="1">
        <v>1530.0</v>
      </c>
      <c r="H3" s="1">
        <v>99.6</v>
      </c>
      <c r="I3" s="1">
        <v>1500.0</v>
      </c>
      <c r="J3" s="1">
        <v>1494.0</v>
      </c>
      <c r="K3" s="1">
        <v>0.4</v>
      </c>
      <c r="L3" s="1" t="s">
        <v>157</v>
      </c>
      <c r="N3" s="1" t="s">
        <v>158</v>
      </c>
      <c r="O3" s="6">
        <v>12.0</v>
      </c>
      <c r="P3" s="1" t="s">
        <v>159</v>
      </c>
      <c r="Q3" s="1" t="s">
        <v>160</v>
      </c>
    </row>
    <row r="4">
      <c r="A4" s="1" t="s">
        <v>163</v>
      </c>
      <c r="B4" s="1" t="b">
        <v>1</v>
      </c>
      <c r="C4" s="5">
        <v>46331.0</v>
      </c>
      <c r="D4" s="1" t="s">
        <v>164</v>
      </c>
      <c r="E4" s="1">
        <v>34.0</v>
      </c>
      <c r="F4" s="1">
        <v>53.035</v>
      </c>
      <c r="G4" s="1">
        <v>689.0</v>
      </c>
      <c r="H4" s="1">
        <v>100.0</v>
      </c>
      <c r="I4" s="1">
        <v>1500.0</v>
      </c>
      <c r="J4" s="1">
        <v>1500.0</v>
      </c>
      <c r="K4" s="1">
        <v>0.0</v>
      </c>
      <c r="L4" s="1" t="s">
        <v>157</v>
      </c>
      <c r="O4" s="1">
        <v>13.0</v>
      </c>
    </row>
    <row r="5">
      <c r="A5" s="1" t="s">
        <v>165</v>
      </c>
      <c r="B5" s="1" t="b">
        <v>1</v>
      </c>
      <c r="C5" s="5">
        <v>46331.0</v>
      </c>
      <c r="D5" s="1" t="s">
        <v>166</v>
      </c>
      <c r="E5" s="1">
        <v>35.0</v>
      </c>
      <c r="F5" s="1">
        <v>42.592</v>
      </c>
      <c r="G5" s="1">
        <v>342.0</v>
      </c>
      <c r="H5" s="1">
        <v>100.0</v>
      </c>
      <c r="I5" s="1">
        <v>1500.0</v>
      </c>
      <c r="J5" s="1">
        <v>1500.0</v>
      </c>
      <c r="K5" s="1">
        <v>0.0</v>
      </c>
      <c r="L5" s="1" t="s">
        <v>157</v>
      </c>
      <c r="O5" s="1">
        <v>14.0</v>
      </c>
    </row>
    <row r="6">
      <c r="A6" s="1" t="s">
        <v>167</v>
      </c>
      <c r="B6" s="1" t="b">
        <v>1</v>
      </c>
      <c r="C6" s="5">
        <v>46331.0</v>
      </c>
      <c r="D6" s="1" t="s">
        <v>168</v>
      </c>
      <c r="E6" s="1">
        <v>34.0</v>
      </c>
      <c r="F6" s="1">
        <v>41.419</v>
      </c>
      <c r="G6" s="1">
        <v>197.0</v>
      </c>
      <c r="H6" s="1">
        <v>100.0</v>
      </c>
      <c r="I6" s="1">
        <v>1500.0</v>
      </c>
      <c r="J6" s="1">
        <v>1500.0</v>
      </c>
      <c r="K6" s="1">
        <v>0.0</v>
      </c>
      <c r="L6" s="1" t="s">
        <v>157</v>
      </c>
      <c r="M6" s="1" t="s">
        <v>158</v>
      </c>
      <c r="O6" s="1">
        <v>15.0</v>
      </c>
    </row>
    <row r="7">
      <c r="A7" s="1" t="s">
        <v>169</v>
      </c>
      <c r="B7" s="1" t="b">
        <v>1</v>
      </c>
      <c r="C7" s="5">
        <v>46331.0</v>
      </c>
      <c r="D7" s="1" t="s">
        <v>170</v>
      </c>
      <c r="E7" s="1">
        <v>34.0</v>
      </c>
      <c r="F7" s="1">
        <v>44.521</v>
      </c>
      <c r="G7" s="1">
        <v>836.0</v>
      </c>
      <c r="H7" s="1">
        <v>99.67</v>
      </c>
      <c r="I7" s="1">
        <v>1500.0</v>
      </c>
      <c r="J7" s="1">
        <v>1495.0</v>
      </c>
      <c r="K7" s="1">
        <v>0.33</v>
      </c>
      <c r="L7" s="1" t="s">
        <v>157</v>
      </c>
      <c r="N7" s="1" t="s">
        <v>158</v>
      </c>
      <c r="O7" s="6">
        <v>16.0</v>
      </c>
      <c r="P7" s="1" t="s">
        <v>171</v>
      </c>
      <c r="R7" s="1" t="s">
        <v>172</v>
      </c>
    </row>
    <row r="8">
      <c r="A8" s="1" t="s">
        <v>173</v>
      </c>
      <c r="B8" s="1" t="b">
        <v>1</v>
      </c>
      <c r="C8" s="5">
        <v>46331.0</v>
      </c>
      <c r="D8" s="1" t="s">
        <v>174</v>
      </c>
      <c r="E8" s="1">
        <v>34.0</v>
      </c>
      <c r="F8" s="1">
        <v>42.126</v>
      </c>
      <c r="G8" s="1">
        <v>737.0</v>
      </c>
      <c r="H8" s="1">
        <v>98.53</v>
      </c>
      <c r="I8" s="1">
        <v>1500.0</v>
      </c>
      <c r="J8" s="1">
        <v>1478.0</v>
      </c>
      <c r="K8" s="1">
        <v>1.47</v>
      </c>
      <c r="L8" s="1" t="s">
        <v>157</v>
      </c>
      <c r="N8" s="1" t="s">
        <v>158</v>
      </c>
      <c r="O8" s="6">
        <v>17.0</v>
      </c>
      <c r="P8" s="1" t="s">
        <v>175</v>
      </c>
      <c r="R8" s="1" t="s">
        <v>172</v>
      </c>
      <c r="S8" s="1" t="s">
        <v>172</v>
      </c>
    </row>
    <row r="9">
      <c r="A9" s="1" t="s">
        <v>176</v>
      </c>
      <c r="B9" s="1" t="b">
        <v>1</v>
      </c>
      <c r="C9" s="5">
        <v>46331.0</v>
      </c>
      <c r="D9" s="1" t="s">
        <v>177</v>
      </c>
      <c r="E9" s="1">
        <v>34.0</v>
      </c>
      <c r="F9" s="1">
        <v>42.854</v>
      </c>
      <c r="G9" s="1">
        <v>939.0</v>
      </c>
      <c r="H9" s="1">
        <v>98.07</v>
      </c>
      <c r="I9" s="1">
        <v>1500.0</v>
      </c>
      <c r="J9" s="1">
        <v>1471.0</v>
      </c>
      <c r="K9" s="1">
        <v>1.93</v>
      </c>
      <c r="L9" s="1" t="s">
        <v>157</v>
      </c>
      <c r="N9" s="1" t="s">
        <v>158</v>
      </c>
      <c r="O9" s="6">
        <v>18.0</v>
      </c>
      <c r="P9" s="1" t="s">
        <v>175</v>
      </c>
    </row>
    <row r="10">
      <c r="A10" s="1" t="s">
        <v>178</v>
      </c>
      <c r="B10" s="1" t="b">
        <v>1</v>
      </c>
      <c r="C10" s="5">
        <v>46331.0</v>
      </c>
      <c r="D10" s="1" t="s">
        <v>179</v>
      </c>
      <c r="E10" s="1">
        <v>34.0</v>
      </c>
      <c r="F10" s="1">
        <v>41.809</v>
      </c>
      <c r="G10" s="1">
        <v>669.0</v>
      </c>
      <c r="H10" s="1">
        <v>97.87</v>
      </c>
      <c r="I10" s="1">
        <v>1500.0</v>
      </c>
      <c r="J10" s="1">
        <v>1468.0</v>
      </c>
      <c r="K10" s="1">
        <v>2.13</v>
      </c>
      <c r="L10" s="1" t="s">
        <v>157</v>
      </c>
      <c r="N10" s="1" t="s">
        <v>158</v>
      </c>
      <c r="O10" s="6">
        <v>19.0</v>
      </c>
      <c r="P10" s="1" t="s">
        <v>175</v>
      </c>
      <c r="R10" s="1" t="s">
        <v>172</v>
      </c>
      <c r="S10" s="1" t="s">
        <v>172</v>
      </c>
    </row>
    <row r="11">
      <c r="A11" s="1" t="s">
        <v>180</v>
      </c>
      <c r="B11" s="1" t="b">
        <v>1</v>
      </c>
      <c r="C11" s="5">
        <v>46331.0</v>
      </c>
      <c r="D11" s="1" t="s">
        <v>181</v>
      </c>
      <c r="E11" s="1">
        <v>34.0</v>
      </c>
      <c r="F11" s="1">
        <v>44.783</v>
      </c>
      <c r="G11" s="1">
        <v>979.0</v>
      </c>
      <c r="H11" s="1">
        <v>97.0</v>
      </c>
      <c r="I11" s="1">
        <v>1500.0</v>
      </c>
      <c r="J11" s="1">
        <v>1455.0</v>
      </c>
      <c r="K11" s="1">
        <v>3.0</v>
      </c>
      <c r="L11" s="1" t="s">
        <v>157</v>
      </c>
      <c r="N11" s="1" t="s">
        <v>158</v>
      </c>
      <c r="O11" s="6">
        <v>20.0</v>
      </c>
      <c r="P11" s="1" t="s">
        <v>182</v>
      </c>
    </row>
    <row r="12">
      <c r="A12" s="1" t="s">
        <v>183</v>
      </c>
      <c r="B12" s="1" t="b">
        <v>1</v>
      </c>
      <c r="C12" s="5">
        <v>46331.0</v>
      </c>
      <c r="D12" s="1" t="s">
        <v>184</v>
      </c>
      <c r="E12" s="1">
        <v>35.0</v>
      </c>
      <c r="F12" s="1">
        <v>43.71</v>
      </c>
      <c r="G12" s="1">
        <v>994.0</v>
      </c>
      <c r="H12" s="1">
        <v>97.8</v>
      </c>
      <c r="I12" s="1">
        <v>1500.0</v>
      </c>
      <c r="J12" s="1">
        <v>1467.0</v>
      </c>
      <c r="K12" s="1">
        <v>2.2</v>
      </c>
      <c r="L12" s="1" t="s">
        <v>157</v>
      </c>
      <c r="N12" s="1" t="s">
        <v>158</v>
      </c>
      <c r="O12" s="6">
        <v>21.0</v>
      </c>
      <c r="P12" s="1" t="s">
        <v>182</v>
      </c>
    </row>
    <row r="13">
      <c r="A13" s="1" t="s">
        <v>185</v>
      </c>
      <c r="B13" s="1" t="b">
        <v>1</v>
      </c>
      <c r="C13" s="5">
        <v>46331.0</v>
      </c>
      <c r="D13" s="1" t="s">
        <v>186</v>
      </c>
      <c r="E13" s="1">
        <v>34.0</v>
      </c>
      <c r="F13" s="1">
        <v>40.432</v>
      </c>
      <c r="G13" s="1">
        <v>102.0</v>
      </c>
      <c r="H13" s="1">
        <v>100.0</v>
      </c>
      <c r="I13" s="1">
        <v>1500.0</v>
      </c>
      <c r="J13" s="1">
        <v>1500.0</v>
      </c>
      <c r="K13" s="1">
        <v>0.0</v>
      </c>
      <c r="L13" s="1" t="s">
        <v>157</v>
      </c>
      <c r="O13" s="1">
        <v>22.0</v>
      </c>
    </row>
    <row r="14">
      <c r="A14" s="1" t="s">
        <v>187</v>
      </c>
      <c r="B14" s="1" t="b">
        <v>1</v>
      </c>
      <c r="C14" s="5">
        <v>46331.0</v>
      </c>
      <c r="D14" s="1" t="s">
        <v>188</v>
      </c>
      <c r="E14" s="1">
        <v>34.0</v>
      </c>
      <c r="F14" s="1">
        <v>40.232</v>
      </c>
      <c r="G14" s="1">
        <v>125.0</v>
      </c>
      <c r="H14" s="1">
        <v>100.0</v>
      </c>
      <c r="I14" s="1">
        <v>1500.0</v>
      </c>
      <c r="J14" s="1">
        <v>1500.0</v>
      </c>
      <c r="K14" s="1">
        <v>0.0</v>
      </c>
      <c r="L14" s="1" t="s">
        <v>157</v>
      </c>
      <c r="M14" s="1" t="s">
        <v>158</v>
      </c>
      <c r="O14" s="1">
        <v>23.0</v>
      </c>
    </row>
    <row r="15">
      <c r="A15" s="1" t="s">
        <v>189</v>
      </c>
      <c r="B15" s="1" t="b">
        <v>1</v>
      </c>
      <c r="C15" s="5">
        <v>46331.0</v>
      </c>
      <c r="D15" s="1" t="s">
        <v>190</v>
      </c>
      <c r="E15" s="1">
        <v>34.0</v>
      </c>
      <c r="F15" s="1">
        <v>41.163</v>
      </c>
      <c r="G15" s="1">
        <v>182.0</v>
      </c>
      <c r="H15" s="1">
        <v>100.0</v>
      </c>
      <c r="I15" s="1">
        <v>1500.0</v>
      </c>
      <c r="J15" s="1">
        <v>1500.0</v>
      </c>
      <c r="K15" s="1">
        <v>0.0</v>
      </c>
      <c r="L15" s="1" t="s">
        <v>157</v>
      </c>
      <c r="O15" s="1">
        <v>24.0</v>
      </c>
    </row>
    <row r="16">
      <c r="A16" s="1" t="s">
        <v>191</v>
      </c>
      <c r="B16" s="1" t="b">
        <v>1</v>
      </c>
      <c r="C16" s="5">
        <v>46331.0</v>
      </c>
      <c r="D16" s="1" t="s">
        <v>192</v>
      </c>
      <c r="E16" s="1">
        <v>34.0</v>
      </c>
      <c r="F16" s="1">
        <v>40.883</v>
      </c>
      <c r="G16" s="1">
        <v>206.0</v>
      </c>
      <c r="H16" s="1">
        <v>100.0</v>
      </c>
      <c r="I16" s="1">
        <v>1500.0</v>
      </c>
      <c r="J16" s="1">
        <v>1500.0</v>
      </c>
      <c r="K16" s="1">
        <v>0.0</v>
      </c>
      <c r="L16" s="1" t="s">
        <v>157</v>
      </c>
      <c r="O16" s="1">
        <v>25.0</v>
      </c>
    </row>
    <row r="17">
      <c r="A17" s="1" t="s">
        <v>193</v>
      </c>
      <c r="B17" s="1" t="b">
        <v>1</v>
      </c>
      <c r="C17" s="5">
        <v>46331.0</v>
      </c>
      <c r="D17" s="1" t="s">
        <v>194</v>
      </c>
      <c r="E17" s="1">
        <v>34.0</v>
      </c>
      <c r="F17" s="1">
        <v>41.079</v>
      </c>
      <c r="G17" s="1">
        <v>174.0</v>
      </c>
      <c r="H17" s="1">
        <v>100.0</v>
      </c>
      <c r="I17" s="1">
        <v>1500.0</v>
      </c>
      <c r="J17" s="1">
        <v>1500.0</v>
      </c>
      <c r="K17" s="1">
        <v>0.0</v>
      </c>
      <c r="L17" s="1" t="s">
        <v>157</v>
      </c>
      <c r="O17" s="1">
        <v>26.0</v>
      </c>
    </row>
    <row r="18">
      <c r="A18" s="1" t="s">
        <v>195</v>
      </c>
      <c r="B18" s="1" t="b">
        <v>1</v>
      </c>
      <c r="C18" s="5">
        <v>46331.0</v>
      </c>
      <c r="D18" s="1" t="s">
        <v>196</v>
      </c>
      <c r="E18" s="1">
        <v>34.0</v>
      </c>
      <c r="F18" s="1">
        <v>42.262</v>
      </c>
      <c r="G18" s="1">
        <v>327.0</v>
      </c>
      <c r="H18" s="1">
        <v>100.0</v>
      </c>
      <c r="I18" s="1">
        <v>1500.0</v>
      </c>
      <c r="J18" s="1">
        <v>1500.0</v>
      </c>
      <c r="K18" s="1">
        <v>0.0</v>
      </c>
      <c r="L18" s="1" t="s">
        <v>157</v>
      </c>
      <c r="O18" s="1">
        <v>27.0</v>
      </c>
    </row>
    <row r="19">
      <c r="A19" s="1" t="s">
        <v>197</v>
      </c>
      <c r="B19" s="1" t="b">
        <v>1</v>
      </c>
      <c r="C19" s="5">
        <v>46331.0</v>
      </c>
      <c r="D19" s="1" t="s">
        <v>198</v>
      </c>
      <c r="E19" s="1">
        <v>34.0</v>
      </c>
      <c r="F19" s="1">
        <v>40.548</v>
      </c>
      <c r="G19" s="1">
        <v>299.0</v>
      </c>
      <c r="H19" s="1">
        <v>100.0</v>
      </c>
      <c r="I19" s="1">
        <v>1500.0</v>
      </c>
      <c r="J19" s="1">
        <v>1500.0</v>
      </c>
      <c r="K19" s="1">
        <v>0.0</v>
      </c>
      <c r="L19" s="1" t="s">
        <v>157</v>
      </c>
      <c r="O19" s="1">
        <v>28.0</v>
      </c>
    </row>
    <row r="20">
      <c r="A20" s="1" t="s">
        <v>199</v>
      </c>
      <c r="B20" s="1" t="b">
        <v>1</v>
      </c>
      <c r="C20" s="5">
        <v>46331.0</v>
      </c>
      <c r="D20" s="1" t="s">
        <v>200</v>
      </c>
      <c r="E20" s="1">
        <v>34.0</v>
      </c>
      <c r="F20" s="1">
        <v>41.125</v>
      </c>
      <c r="G20" s="1">
        <v>171.0</v>
      </c>
      <c r="H20" s="1">
        <v>100.0</v>
      </c>
      <c r="I20" s="1">
        <v>1500.0</v>
      </c>
      <c r="J20" s="1">
        <v>1500.0</v>
      </c>
      <c r="K20" s="1">
        <v>0.0</v>
      </c>
      <c r="L20" s="1" t="s">
        <v>157</v>
      </c>
      <c r="O20" s="1">
        <v>29.0</v>
      </c>
    </row>
    <row r="21">
      <c r="A21" s="1" t="s">
        <v>201</v>
      </c>
      <c r="B21" s="1" t="b">
        <v>1</v>
      </c>
      <c r="C21" s="5">
        <v>46331.0</v>
      </c>
      <c r="D21" s="1" t="s">
        <v>202</v>
      </c>
      <c r="E21" s="1">
        <v>34.0</v>
      </c>
      <c r="F21" s="1">
        <v>40.896</v>
      </c>
      <c r="G21" s="1">
        <v>348.0</v>
      </c>
      <c r="H21" s="1">
        <v>100.0</v>
      </c>
      <c r="I21" s="1">
        <v>1500.0</v>
      </c>
      <c r="J21" s="1">
        <v>1500.0</v>
      </c>
      <c r="K21" s="1">
        <v>0.0</v>
      </c>
      <c r="L21" s="1" t="s">
        <v>157</v>
      </c>
      <c r="O21" s="1">
        <v>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203</v>
      </c>
      <c r="B1" s="1" t="s">
        <v>204</v>
      </c>
      <c r="C1" s="1" t="s">
        <v>205</v>
      </c>
      <c r="E1" s="1" t="s">
        <v>128</v>
      </c>
    </row>
    <row r="2">
      <c r="A2" s="1" t="s">
        <v>206</v>
      </c>
      <c r="B2" s="5">
        <v>46331.0</v>
      </c>
      <c r="C2" s="1" t="s">
        <v>207</v>
      </c>
      <c r="E2" s="1" t="s">
        <v>208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209</v>
      </c>
      <c r="G1" s="1" t="s">
        <v>5</v>
      </c>
      <c r="H1" s="1" t="s">
        <v>6</v>
      </c>
      <c r="I1" s="1" t="s">
        <v>7</v>
      </c>
      <c r="J1" s="1" t="s">
        <v>210</v>
      </c>
      <c r="K1" s="1" t="s">
        <v>211</v>
      </c>
    </row>
    <row r="2">
      <c r="A2" s="1" t="s">
        <v>10</v>
      </c>
      <c r="B2" s="1" t="s">
        <v>212</v>
      </c>
      <c r="C2" s="1">
        <v>27.0</v>
      </c>
      <c r="D2" s="1">
        <v>99.034</v>
      </c>
      <c r="E2" s="1">
        <v>363.0</v>
      </c>
      <c r="F2" s="1">
        <v>5.8</v>
      </c>
      <c r="G2" s="7">
        <f t="shared" ref="G2:G21" si="1">100-F2</f>
        <v>94.2</v>
      </c>
      <c r="H2" s="1">
        <v>1500.0</v>
      </c>
      <c r="I2" s="1">
        <v>1412.0</v>
      </c>
      <c r="J2" s="1" t="s">
        <v>213</v>
      </c>
      <c r="K2" s="1">
        <v>1.0</v>
      </c>
    </row>
    <row r="3">
      <c r="A3" s="1" t="s">
        <v>14</v>
      </c>
      <c r="B3" s="1" t="s">
        <v>212</v>
      </c>
      <c r="C3" s="1">
        <v>27.0</v>
      </c>
      <c r="D3" s="1">
        <v>97.819</v>
      </c>
      <c r="E3" s="1">
        <v>508.0</v>
      </c>
      <c r="F3" s="1">
        <v>29.2</v>
      </c>
      <c r="G3" s="7">
        <f t="shared" si="1"/>
        <v>70.8</v>
      </c>
      <c r="H3" s="1">
        <v>1500.0</v>
      </c>
      <c r="I3" s="1">
        <v>1062.0</v>
      </c>
      <c r="J3" s="1" t="s">
        <v>214</v>
      </c>
      <c r="K3" s="1">
        <v>1.0</v>
      </c>
    </row>
    <row r="4">
      <c r="A4" s="1" t="s">
        <v>15</v>
      </c>
      <c r="B4" s="1" t="s">
        <v>212</v>
      </c>
      <c r="C4" s="1">
        <v>26.0</v>
      </c>
      <c r="D4" s="1">
        <v>82.146</v>
      </c>
      <c r="E4" s="1">
        <v>367.0</v>
      </c>
      <c r="F4" s="1">
        <v>0.2</v>
      </c>
      <c r="G4" s="7">
        <f t="shared" si="1"/>
        <v>99.8</v>
      </c>
      <c r="H4" s="1">
        <v>1500.0</v>
      </c>
      <c r="I4" s="1">
        <v>1497.0</v>
      </c>
      <c r="J4" s="1" t="s">
        <v>215</v>
      </c>
      <c r="K4" s="1">
        <v>0.2</v>
      </c>
    </row>
    <row r="5">
      <c r="A5" s="1" t="s">
        <v>16</v>
      </c>
      <c r="B5" s="1" t="s">
        <v>212</v>
      </c>
      <c r="C5" s="1">
        <v>27.0</v>
      </c>
      <c r="D5" s="1">
        <v>78.223</v>
      </c>
      <c r="E5" s="1">
        <v>268.0</v>
      </c>
      <c r="F5" s="1">
        <v>0.2</v>
      </c>
      <c r="G5" s="7">
        <f t="shared" si="1"/>
        <v>99.8</v>
      </c>
      <c r="H5" s="1">
        <v>1500.0</v>
      </c>
      <c r="I5" s="1">
        <v>1496.0</v>
      </c>
      <c r="K5" s="1">
        <v>0.2</v>
      </c>
    </row>
    <row r="6">
      <c r="A6" s="1" t="s">
        <v>17</v>
      </c>
      <c r="B6" s="1" t="s">
        <v>212</v>
      </c>
      <c r="C6" s="1">
        <v>27.0</v>
      </c>
      <c r="D6" s="1">
        <v>94.486</v>
      </c>
      <c r="E6" s="1">
        <v>370.0</v>
      </c>
      <c r="F6" s="1">
        <v>1.5</v>
      </c>
      <c r="G6" s="7">
        <f t="shared" si="1"/>
        <v>98.5</v>
      </c>
      <c r="H6" s="1">
        <v>1500.0</v>
      </c>
      <c r="I6" s="1">
        <v>1477.0</v>
      </c>
      <c r="K6" s="1">
        <v>0.2</v>
      </c>
    </row>
    <row r="7">
      <c r="A7" s="1" t="s">
        <v>18</v>
      </c>
      <c r="B7" s="1" t="s">
        <v>212</v>
      </c>
      <c r="C7" s="1">
        <v>26.0</v>
      </c>
      <c r="D7" s="1">
        <v>95.119</v>
      </c>
      <c r="E7" s="1">
        <v>837.0</v>
      </c>
      <c r="F7" s="1">
        <v>0.4</v>
      </c>
      <c r="G7" s="7">
        <f t="shared" si="1"/>
        <v>99.6</v>
      </c>
      <c r="H7" s="1">
        <v>1500.0</v>
      </c>
      <c r="I7" s="1">
        <v>1493.0</v>
      </c>
      <c r="K7" s="1">
        <v>0.2</v>
      </c>
    </row>
    <row r="8">
      <c r="A8" s="1" t="s">
        <v>19</v>
      </c>
      <c r="B8" s="1" t="s">
        <v>212</v>
      </c>
      <c r="C8" s="1">
        <v>27.0</v>
      </c>
      <c r="D8" s="1">
        <v>96.784</v>
      </c>
      <c r="E8" s="1">
        <v>400.0</v>
      </c>
      <c r="F8" s="1">
        <v>0.0</v>
      </c>
      <c r="G8" s="7">
        <f t="shared" si="1"/>
        <v>100</v>
      </c>
      <c r="H8" s="1">
        <v>1500.0</v>
      </c>
      <c r="I8" s="1">
        <v>1500.0</v>
      </c>
      <c r="K8" s="1">
        <v>0.2</v>
      </c>
    </row>
    <row r="9">
      <c r="A9" s="1" t="s">
        <v>20</v>
      </c>
      <c r="B9" s="1" t="s">
        <v>212</v>
      </c>
      <c r="C9" s="1">
        <v>27.0</v>
      </c>
      <c r="D9" s="1">
        <v>95.418</v>
      </c>
      <c r="E9" s="1">
        <v>337.0</v>
      </c>
      <c r="F9" s="1">
        <v>13.0</v>
      </c>
      <c r="G9" s="7">
        <f t="shared" si="1"/>
        <v>87</v>
      </c>
      <c r="H9" s="1">
        <v>1500.0</v>
      </c>
      <c r="I9" s="1">
        <v>1304.0</v>
      </c>
      <c r="K9" s="1">
        <v>0.2</v>
      </c>
    </row>
    <row r="10">
      <c r="A10" s="1" t="s">
        <v>21</v>
      </c>
      <c r="B10" s="1" t="s">
        <v>212</v>
      </c>
      <c r="C10" s="1">
        <v>27.0</v>
      </c>
      <c r="D10" s="1">
        <v>92.116</v>
      </c>
      <c r="E10" s="1">
        <v>369.0</v>
      </c>
      <c r="F10" s="1">
        <v>16.4</v>
      </c>
      <c r="G10" s="7">
        <f t="shared" si="1"/>
        <v>83.6</v>
      </c>
      <c r="H10" s="1">
        <v>1500.0</v>
      </c>
      <c r="I10" s="1">
        <v>1254.0</v>
      </c>
      <c r="K10" s="1">
        <v>0.2</v>
      </c>
    </row>
    <row r="11">
      <c r="A11" s="1" t="s">
        <v>22</v>
      </c>
      <c r="B11" s="1" t="s">
        <v>212</v>
      </c>
      <c r="C11" s="1">
        <v>27.0</v>
      </c>
      <c r="D11" s="1">
        <v>94.973</v>
      </c>
      <c r="E11" s="1">
        <v>419.0</v>
      </c>
      <c r="F11" s="1">
        <v>0.0</v>
      </c>
      <c r="G11" s="7">
        <f t="shared" si="1"/>
        <v>100</v>
      </c>
      <c r="H11" s="1">
        <v>1500.0</v>
      </c>
      <c r="I11" s="1">
        <v>1500.0</v>
      </c>
      <c r="K11" s="1">
        <v>0.2</v>
      </c>
    </row>
    <row r="12">
      <c r="A12" s="1" t="s">
        <v>23</v>
      </c>
      <c r="B12" s="1" t="s">
        <v>212</v>
      </c>
      <c r="C12" s="1">
        <v>27.0</v>
      </c>
      <c r="D12" s="1">
        <v>95.846</v>
      </c>
      <c r="E12" s="1">
        <v>341.0</v>
      </c>
      <c r="F12" s="1">
        <v>0.2</v>
      </c>
      <c r="G12" s="7">
        <f t="shared" si="1"/>
        <v>99.8</v>
      </c>
      <c r="H12" s="1">
        <v>1500.0</v>
      </c>
      <c r="I12" s="1">
        <v>1496.0</v>
      </c>
      <c r="K12" s="1">
        <v>0.2</v>
      </c>
    </row>
    <row r="13">
      <c r="A13" s="1" t="s">
        <v>26</v>
      </c>
      <c r="B13" s="1" t="s">
        <v>212</v>
      </c>
      <c r="C13" s="1">
        <v>27.0</v>
      </c>
      <c r="D13" s="1">
        <v>97.305</v>
      </c>
      <c r="E13" s="1">
        <v>387.0</v>
      </c>
      <c r="F13" s="1">
        <v>1.6</v>
      </c>
      <c r="G13" s="7">
        <f t="shared" si="1"/>
        <v>98.4</v>
      </c>
      <c r="H13" s="1">
        <v>1500.0</v>
      </c>
      <c r="I13" s="1">
        <v>1476.0</v>
      </c>
      <c r="K13" s="1">
        <v>0.2</v>
      </c>
    </row>
    <row r="14">
      <c r="A14" s="1" t="s">
        <v>27</v>
      </c>
      <c r="B14" s="1" t="s">
        <v>212</v>
      </c>
      <c r="C14" s="1">
        <v>27.0</v>
      </c>
      <c r="D14" s="1">
        <v>98.957</v>
      </c>
      <c r="E14" s="1">
        <v>414.0</v>
      </c>
      <c r="F14" s="1">
        <v>0.7</v>
      </c>
      <c r="G14" s="7">
        <f t="shared" si="1"/>
        <v>99.3</v>
      </c>
      <c r="H14" s="1">
        <v>1500.0</v>
      </c>
      <c r="I14" s="1">
        <v>1489.0</v>
      </c>
      <c r="K14" s="1">
        <v>0.2</v>
      </c>
    </row>
    <row r="15">
      <c r="A15" s="1" t="s">
        <v>28</v>
      </c>
      <c r="B15" s="1" t="s">
        <v>212</v>
      </c>
      <c r="C15" s="1">
        <v>27.0</v>
      </c>
      <c r="D15" s="1">
        <v>104.439</v>
      </c>
      <c r="E15" s="1">
        <v>420.0</v>
      </c>
      <c r="F15" s="1">
        <v>1.8</v>
      </c>
      <c r="G15" s="7">
        <f t="shared" si="1"/>
        <v>98.2</v>
      </c>
      <c r="H15" s="1">
        <v>1500.0</v>
      </c>
      <c r="I15" s="1">
        <v>1472.0</v>
      </c>
      <c r="K15" s="1">
        <v>0.2</v>
      </c>
    </row>
    <row r="16">
      <c r="A16" s="1" t="s">
        <v>29</v>
      </c>
      <c r="B16" s="1" t="s">
        <v>212</v>
      </c>
      <c r="C16" s="1">
        <v>26.0</v>
      </c>
      <c r="D16" s="1">
        <v>88.647</v>
      </c>
      <c r="E16" s="1">
        <v>702.0</v>
      </c>
      <c r="F16" s="1">
        <v>12.4</v>
      </c>
      <c r="G16" s="7">
        <f t="shared" si="1"/>
        <v>87.6</v>
      </c>
      <c r="H16" s="1">
        <v>1500.0</v>
      </c>
      <c r="I16" s="1">
        <v>1313.0</v>
      </c>
      <c r="K16" s="1">
        <v>0.2</v>
      </c>
    </row>
    <row r="17">
      <c r="A17" s="1" t="s">
        <v>30</v>
      </c>
      <c r="B17" s="1" t="s">
        <v>212</v>
      </c>
      <c r="C17" s="1">
        <v>27.0</v>
      </c>
      <c r="D17" s="1">
        <v>111.664</v>
      </c>
      <c r="E17" s="1">
        <v>543.0</v>
      </c>
      <c r="F17" s="1">
        <v>5.9</v>
      </c>
      <c r="G17" s="7">
        <f t="shared" si="1"/>
        <v>94.1</v>
      </c>
      <c r="H17" s="1">
        <v>1500.0</v>
      </c>
      <c r="I17" s="1">
        <v>1411.0</v>
      </c>
      <c r="K17" s="1">
        <v>0.2</v>
      </c>
    </row>
    <row r="18">
      <c r="A18" s="1" t="s">
        <v>31</v>
      </c>
      <c r="B18" s="1" t="s">
        <v>212</v>
      </c>
      <c r="C18" s="1">
        <v>27.0</v>
      </c>
      <c r="D18" s="1">
        <v>106.67</v>
      </c>
      <c r="E18" s="1">
        <v>445.0</v>
      </c>
      <c r="F18" s="1">
        <v>0.0</v>
      </c>
      <c r="G18" s="7">
        <f t="shared" si="1"/>
        <v>100</v>
      </c>
      <c r="H18" s="1">
        <v>1500.0</v>
      </c>
      <c r="I18" s="1">
        <v>1500.0</v>
      </c>
      <c r="K18" s="1">
        <v>0.2</v>
      </c>
    </row>
    <row r="19">
      <c r="A19" s="1" t="s">
        <v>32</v>
      </c>
      <c r="B19" s="1" t="s">
        <v>212</v>
      </c>
      <c r="C19" s="1">
        <v>27.0</v>
      </c>
      <c r="D19" s="1">
        <v>105.559</v>
      </c>
      <c r="E19" s="1">
        <v>580.0</v>
      </c>
      <c r="F19" s="1">
        <v>2.9</v>
      </c>
      <c r="G19" s="7">
        <f t="shared" si="1"/>
        <v>97.1</v>
      </c>
      <c r="H19" s="1">
        <v>1500.0</v>
      </c>
      <c r="I19" s="1">
        <v>1456.0</v>
      </c>
      <c r="K19" s="1">
        <v>0.2</v>
      </c>
    </row>
    <row r="20">
      <c r="A20" s="1" t="s">
        <v>33</v>
      </c>
      <c r="B20" s="1" t="s">
        <v>212</v>
      </c>
      <c r="C20" s="1">
        <v>26.0</v>
      </c>
      <c r="D20" s="1">
        <v>106.354</v>
      </c>
      <c r="E20" s="1">
        <v>440.0</v>
      </c>
      <c r="F20" s="1">
        <v>9.6</v>
      </c>
      <c r="G20" s="7">
        <f t="shared" si="1"/>
        <v>90.4</v>
      </c>
      <c r="H20" s="1">
        <v>1500.0</v>
      </c>
      <c r="I20" s="1">
        <v>1355.0</v>
      </c>
      <c r="K20" s="1">
        <v>0.2</v>
      </c>
    </row>
    <row r="21">
      <c r="A21" s="1" t="s">
        <v>34</v>
      </c>
      <c r="B21" s="1" t="s">
        <v>212</v>
      </c>
      <c r="C21" s="1">
        <v>26.0</v>
      </c>
      <c r="D21" s="1">
        <v>108.542</v>
      </c>
      <c r="E21" s="1">
        <v>547.0</v>
      </c>
      <c r="F21" s="1">
        <v>0.0</v>
      </c>
      <c r="G21" s="7">
        <f t="shared" si="1"/>
        <v>100</v>
      </c>
      <c r="H21" s="1">
        <v>1500.0</v>
      </c>
      <c r="I21" s="1">
        <v>1500.0</v>
      </c>
      <c r="K21" s="1">
        <v>0.2</v>
      </c>
    </row>
    <row r="23">
      <c r="F23" s="1" t="s">
        <v>216</v>
      </c>
      <c r="G23" s="7">
        <f>AVERAGE(G2:G21)</f>
        <v>94.91</v>
      </c>
    </row>
    <row r="24">
      <c r="F24" s="1" t="s">
        <v>217</v>
      </c>
      <c r="G24" s="7">
        <f>_xlfn.STDEV.S(G2:G21)</f>
        <v>7.622812024</v>
      </c>
    </row>
    <row r="25">
      <c r="G25" s="7">
        <f>2.093*G24/SQRT(20)</f>
        <v>3.567544844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L1" s="1" t="s">
        <v>151</v>
      </c>
      <c r="N1" s="1" t="s">
        <v>152</v>
      </c>
      <c r="P1" s="1" t="s">
        <v>153</v>
      </c>
      <c r="Q1" s="1" t="s">
        <v>154</v>
      </c>
    </row>
    <row r="2">
      <c r="A2" s="1" t="s">
        <v>218</v>
      </c>
      <c r="B2" s="1">
        <v>122803.0</v>
      </c>
      <c r="C2" s="1">
        <v>27.0</v>
      </c>
      <c r="D2" s="1">
        <v>91.863</v>
      </c>
      <c r="E2" s="1">
        <v>201.0</v>
      </c>
      <c r="F2" s="7">
        <f t="shared" ref="F2:F21" si="1">100-I2</f>
        <v>98.5</v>
      </c>
      <c r="G2" s="1">
        <v>1500.0</v>
      </c>
      <c r="H2" s="1">
        <v>1477.0</v>
      </c>
      <c r="I2" s="1">
        <v>1.5</v>
      </c>
      <c r="J2" s="1" t="s">
        <v>219</v>
      </c>
    </row>
    <row r="3">
      <c r="A3" s="1" t="s">
        <v>220</v>
      </c>
      <c r="B3" s="1">
        <v>123418.0</v>
      </c>
      <c r="C3" s="1">
        <v>27.0</v>
      </c>
      <c r="D3" s="1">
        <v>91.287</v>
      </c>
      <c r="E3" s="1">
        <v>201.0</v>
      </c>
      <c r="F3" s="7">
        <f t="shared" si="1"/>
        <v>98.4</v>
      </c>
      <c r="G3" s="1">
        <v>1500.0</v>
      </c>
      <c r="H3" s="1">
        <v>1476.0</v>
      </c>
      <c r="I3" s="1">
        <v>1.6</v>
      </c>
    </row>
    <row r="4">
      <c r="A4" s="1" t="s">
        <v>221</v>
      </c>
      <c r="B4" s="1">
        <v>123912.0</v>
      </c>
      <c r="C4" s="1">
        <v>27.0</v>
      </c>
      <c r="D4" s="1">
        <v>90.515</v>
      </c>
      <c r="E4" s="1">
        <v>200.0</v>
      </c>
      <c r="F4" s="7">
        <f t="shared" si="1"/>
        <v>98.5</v>
      </c>
      <c r="G4" s="1">
        <v>1500.0</v>
      </c>
      <c r="H4" s="1">
        <v>1477.0</v>
      </c>
      <c r="I4" s="1">
        <v>1.5</v>
      </c>
      <c r="K4" s="1" t="s">
        <v>158</v>
      </c>
    </row>
    <row r="5">
      <c r="A5" s="1" t="s">
        <v>222</v>
      </c>
      <c r="B5" s="1">
        <v>124450.0</v>
      </c>
      <c r="C5" s="1">
        <v>27.0</v>
      </c>
      <c r="D5" s="1">
        <v>90.145</v>
      </c>
      <c r="E5" s="1">
        <v>201.0</v>
      </c>
      <c r="F5" s="7">
        <f t="shared" si="1"/>
        <v>98.4</v>
      </c>
      <c r="G5" s="1">
        <v>1500.0</v>
      </c>
      <c r="H5" s="1">
        <v>1476.0</v>
      </c>
      <c r="I5" s="1">
        <v>1.6</v>
      </c>
      <c r="K5" s="1" t="s">
        <v>158</v>
      </c>
    </row>
    <row r="6">
      <c r="A6" s="1" t="s">
        <v>223</v>
      </c>
      <c r="B6" s="1">
        <v>124932.0</v>
      </c>
      <c r="C6" s="1">
        <v>27.0</v>
      </c>
      <c r="D6" s="1">
        <v>89.444</v>
      </c>
      <c r="E6" s="1">
        <v>195.0</v>
      </c>
      <c r="F6" s="7">
        <f t="shared" si="1"/>
        <v>98.8</v>
      </c>
      <c r="G6" s="1">
        <v>1500.0</v>
      </c>
      <c r="H6" s="1">
        <v>1481.0</v>
      </c>
      <c r="I6" s="1">
        <v>1.2</v>
      </c>
      <c r="K6" s="1" t="s">
        <v>158</v>
      </c>
    </row>
    <row r="7">
      <c r="A7" s="1" t="s">
        <v>224</v>
      </c>
      <c r="B7" s="1">
        <v>125525.0</v>
      </c>
      <c r="C7" s="1">
        <v>27.0</v>
      </c>
      <c r="D7" s="1">
        <v>90.686</v>
      </c>
      <c r="E7" s="1">
        <v>201.0</v>
      </c>
      <c r="F7" s="7">
        <f t="shared" si="1"/>
        <v>99</v>
      </c>
      <c r="G7" s="1">
        <v>1500.0</v>
      </c>
      <c r="H7" s="1">
        <v>1485.0</v>
      </c>
      <c r="I7" s="1">
        <v>1.0</v>
      </c>
      <c r="K7" s="1" t="s">
        <v>158</v>
      </c>
    </row>
    <row r="8">
      <c r="A8" s="1" t="s">
        <v>225</v>
      </c>
      <c r="B8" s="1">
        <v>130007.0</v>
      </c>
      <c r="C8" s="1">
        <v>27.0</v>
      </c>
      <c r="D8" s="1">
        <v>109.13</v>
      </c>
      <c r="E8" s="1">
        <v>202.0</v>
      </c>
      <c r="F8" s="7">
        <f t="shared" si="1"/>
        <v>85.8</v>
      </c>
      <c r="G8" s="1">
        <v>1500.0</v>
      </c>
      <c r="H8" s="1">
        <v>1286.0</v>
      </c>
      <c r="I8" s="1">
        <v>14.2</v>
      </c>
      <c r="K8" s="1" t="s">
        <v>158</v>
      </c>
    </row>
    <row r="9">
      <c r="A9" s="1" t="s">
        <v>226</v>
      </c>
      <c r="B9" s="1">
        <v>130615.0</v>
      </c>
      <c r="C9" s="1">
        <v>26.0</v>
      </c>
      <c r="D9" s="1">
        <v>94.228</v>
      </c>
      <c r="E9" s="1">
        <v>201.0</v>
      </c>
      <c r="F9" s="7">
        <f t="shared" si="1"/>
        <v>96</v>
      </c>
      <c r="G9" s="1">
        <v>1500.0</v>
      </c>
      <c r="H9" s="1">
        <v>1440.0</v>
      </c>
      <c r="I9" s="1">
        <v>4.0</v>
      </c>
      <c r="K9" s="1" t="s">
        <v>158</v>
      </c>
    </row>
    <row r="10">
      <c r="A10" s="1" t="s">
        <v>227</v>
      </c>
      <c r="B10" s="1">
        <v>131103.0</v>
      </c>
      <c r="C10" s="1">
        <v>26.0</v>
      </c>
      <c r="D10" s="1">
        <v>93.111</v>
      </c>
      <c r="E10" s="1">
        <v>202.0</v>
      </c>
      <c r="F10" s="7">
        <f t="shared" si="1"/>
        <v>92.2</v>
      </c>
      <c r="G10" s="1">
        <v>1500.0</v>
      </c>
      <c r="H10" s="1">
        <v>1382.0</v>
      </c>
      <c r="I10" s="1">
        <v>7.8</v>
      </c>
      <c r="K10" s="1" t="s">
        <v>158</v>
      </c>
    </row>
    <row r="11">
      <c r="A11" s="1" t="s">
        <v>228</v>
      </c>
      <c r="B11" s="1">
        <v>131615.0</v>
      </c>
      <c r="C11" s="1">
        <v>27.0</v>
      </c>
      <c r="D11" s="1">
        <v>92.711</v>
      </c>
      <c r="E11" s="1">
        <v>201.0</v>
      </c>
      <c r="F11" s="7">
        <f t="shared" si="1"/>
        <v>91.9</v>
      </c>
      <c r="G11" s="1">
        <v>1500.0</v>
      </c>
      <c r="H11" s="1">
        <v>1378.0</v>
      </c>
      <c r="I11" s="1">
        <v>8.1</v>
      </c>
      <c r="K11" s="1" t="s">
        <v>158</v>
      </c>
    </row>
    <row r="12">
      <c r="A12" s="1" t="s">
        <v>229</v>
      </c>
      <c r="B12" s="1">
        <v>132111.0</v>
      </c>
      <c r="C12" s="1">
        <v>27.0</v>
      </c>
      <c r="D12" s="1">
        <v>88.126</v>
      </c>
      <c r="E12" s="1">
        <v>201.0</v>
      </c>
      <c r="F12" s="7">
        <f t="shared" si="1"/>
        <v>67.6</v>
      </c>
      <c r="G12" s="1">
        <v>1500.0</v>
      </c>
      <c r="H12" s="1">
        <v>1013.0</v>
      </c>
      <c r="I12" s="1">
        <v>32.4</v>
      </c>
      <c r="K12" s="1" t="s">
        <v>158</v>
      </c>
    </row>
    <row r="13">
      <c r="A13" s="1" t="s">
        <v>230</v>
      </c>
      <c r="B13" s="1">
        <v>132636.0</v>
      </c>
      <c r="C13" s="1">
        <v>27.0</v>
      </c>
      <c r="D13" s="1">
        <v>92.436</v>
      </c>
      <c r="E13" s="1">
        <v>201.0</v>
      </c>
      <c r="F13" s="7">
        <f t="shared" si="1"/>
        <v>98</v>
      </c>
      <c r="G13" s="1">
        <v>1500.0</v>
      </c>
      <c r="H13" s="1">
        <v>1470.0</v>
      </c>
      <c r="I13" s="1">
        <v>2.0</v>
      </c>
      <c r="K13" s="1" t="s">
        <v>158</v>
      </c>
    </row>
    <row r="14">
      <c r="A14" s="1" t="s">
        <v>231</v>
      </c>
      <c r="B14" s="1">
        <v>133326.0</v>
      </c>
      <c r="C14" s="1">
        <v>27.0</v>
      </c>
      <c r="D14" s="1">
        <v>92.697</v>
      </c>
      <c r="E14" s="1">
        <v>201.0</v>
      </c>
      <c r="F14" s="7">
        <f t="shared" si="1"/>
        <v>98.5</v>
      </c>
      <c r="G14" s="1">
        <v>1500.0</v>
      </c>
      <c r="H14" s="1">
        <v>1477.0</v>
      </c>
      <c r="I14" s="1">
        <v>1.5</v>
      </c>
      <c r="K14" s="1" t="s">
        <v>158</v>
      </c>
    </row>
    <row r="15">
      <c r="A15" s="1" t="s">
        <v>232</v>
      </c>
      <c r="F15" s="7">
        <f t="shared" si="1"/>
        <v>100</v>
      </c>
      <c r="G15" s="1">
        <v>1500.0</v>
      </c>
    </row>
    <row r="16">
      <c r="A16" s="1" t="s">
        <v>233</v>
      </c>
      <c r="F16" s="7">
        <f t="shared" si="1"/>
        <v>100</v>
      </c>
      <c r="G16" s="1">
        <v>1500.0</v>
      </c>
    </row>
    <row r="17">
      <c r="A17" s="1" t="s">
        <v>234</v>
      </c>
      <c r="F17" s="7">
        <f t="shared" si="1"/>
        <v>100</v>
      </c>
      <c r="G17" s="1">
        <v>1500.0</v>
      </c>
    </row>
    <row r="18">
      <c r="A18" s="1" t="s">
        <v>235</v>
      </c>
      <c r="F18" s="7">
        <f t="shared" si="1"/>
        <v>100</v>
      </c>
      <c r="G18" s="1">
        <v>1500.0</v>
      </c>
    </row>
    <row r="19">
      <c r="A19" s="1" t="s">
        <v>236</v>
      </c>
      <c r="F19" s="7">
        <f t="shared" si="1"/>
        <v>100</v>
      </c>
      <c r="G19" s="1">
        <v>1500.0</v>
      </c>
    </row>
    <row r="20">
      <c r="A20" s="1" t="s">
        <v>237</v>
      </c>
      <c r="F20" s="7">
        <f t="shared" si="1"/>
        <v>100</v>
      </c>
      <c r="G20" s="1">
        <v>1500.0</v>
      </c>
    </row>
    <row r="21">
      <c r="A21" s="1" t="s">
        <v>238</v>
      </c>
      <c r="F21" s="7">
        <f t="shared" si="1"/>
        <v>100</v>
      </c>
      <c r="G21" s="1">
        <v>1500.0</v>
      </c>
    </row>
  </sheetData>
  <drawing r:id="rId1"/>
</worksheet>
</file>